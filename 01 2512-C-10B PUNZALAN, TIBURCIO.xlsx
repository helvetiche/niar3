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helvetica/Downloads/"/>
    </mc:Choice>
  </mc:AlternateContent>
  <xr:revisionPtr revIDLastSave="0" documentId="13_ncr:1_{E8C8525A-37F8-1641-B842-A66346277840}" xr6:coauthVersionLast="47" xr6:coauthVersionMax="47" xr10:uidLastSave="{00000000-0000-0000-0000-000000000000}"/>
  <bookViews>
    <workbookView xWindow="5420" yWindow="920" windowWidth="32740" windowHeight="25720" xr2:uid="{00000000-000D-0000-FFFF-FFFF00000000}" activeTab="0"/>
  </bookViews>
  <sheets>
    <sheet name="00 ACC DETAILS 01" sheetId="4" r:id="rId1"/>
    <sheet name="01 SOA 01" sheetId="1" r:id="rId2"/>
    <sheet name="00 ACC DETAILS 02" sheetId="6" state="hidden" r:id="rId3"/>
    <sheet name="01 SOA 02" sheetId="7" state="hidden" r:id="rId4"/>
    <sheet name="00 ACC DETAILS 03" sheetId="8" state="hidden" r:id="rId5"/>
    <sheet name="01 SOA 03" sheetId="9" state="hidden" r:id="rId6"/>
    <sheet name="00 ACC DETAILS 04" sheetId="10" state="hidden" r:id="rId7"/>
    <sheet name="01 SOA 04" sheetId="11" state="hidden" r:id="rId8"/>
    <sheet name="00 ACC DETAILS 05" sheetId="12" state="hidden" r:id="rId9"/>
    <sheet name="01 SOA 05" sheetId="13" state="hidden" r:id="rId10"/>
    <sheet name="02 REGISTRY" sheetId="2" r:id="rId11"/>
    <sheet name="03 PARTIAL LIST" sheetId="3" r:id="rId12"/>
    <sheet name="04 IRR FISA FORM 2" sheetId="5" r:id="rId13"/>
    <sheet name="05 IRR FISA FORM 3" sheetId="14" r:id="rId14"/>
    <sheet name="06 ACKNOWLEDGEMENT" sheetId="18" r:id="rId15"/>
    <sheet name="07 IRR FISA FORM 6" sheetId="16" r:id="rId16"/>
    <sheet name="08 IRR FISA FORM 7" sheetId="17" r:id="rId17"/>
  </sheets>
  <definedNames>
    <definedName name="_xlnm.Print_Area" localSheetId="1">'01 SOA 01'!$A$1:$G$116</definedName>
    <definedName name="_xlnm.Print_Area" localSheetId="3">'01 SOA 02'!$A$1:$G$118</definedName>
    <definedName name="_xlnm.Print_Area" localSheetId="5">'01 SOA 03'!$A$1:$G$118</definedName>
    <definedName name="_xlnm.Print_Area" localSheetId="7">'01 SOA 04'!$A$1:$G$118</definedName>
    <definedName name="_xlnm.Print_Area" localSheetId="9">'01 SOA 05'!$A$1:$G$118</definedName>
    <definedName name="_xlnm.Print_Area" localSheetId="10">'02 REGISTRY'!$A$1:$X$32</definedName>
    <definedName name="_xlnm.Print_Area" localSheetId="11">'03 PARTIAL LIST'!$A$1:$H$20</definedName>
    <definedName name="_xlnm.Print_Area" localSheetId="12">'04 IRR FISA FORM 2'!$A$1:$AB$56</definedName>
    <definedName name="_xlnm.Print_Area" localSheetId="13">'05 IRR FISA FORM 3'!$A$1:$AB$55</definedName>
    <definedName name="_xlnm.Print_Area" localSheetId="14">'06 ACKNOWLEDGEMENT'!$A$1:$AB$43</definedName>
    <definedName name="_xlnm.Print_Area" localSheetId="15">'07 IRR FISA FORM 6'!$A$1:$AB$55</definedName>
    <definedName name="_xlnm.Print_Area" localSheetId="16">'08 IRR FISA FORM 7'!$A$1:$AB$57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<sst xmlns="http://schemas.openxmlformats.org/spreadsheetml/2006/main">
  <si>
    <t>STATEMENT OF ACCOUNT</t>
  </si>
  <si>
    <t>FARMER CODE NO.:</t>
  </si>
  <si>
    <t>WRFT Div. :</t>
  </si>
  <si>
    <t>Lot No.:</t>
  </si>
  <si>
    <t xml:space="preserve">Area:. </t>
  </si>
  <si>
    <t xml:space="preserve">Name of Landowner: </t>
  </si>
  <si>
    <t>Address:</t>
  </si>
  <si>
    <t>Area</t>
  </si>
  <si>
    <t>C. S.</t>
  </si>
  <si>
    <t>Rate</t>
  </si>
  <si>
    <t>Principal</t>
  </si>
  <si>
    <t>%Penalty</t>
  </si>
  <si>
    <t>Penalty(Cash)</t>
  </si>
  <si>
    <t>Total</t>
  </si>
  <si>
    <t>75-W</t>
  </si>
  <si>
    <t>76-D</t>
  </si>
  <si>
    <t>76-W</t>
  </si>
  <si>
    <t>77-D</t>
  </si>
  <si>
    <t>77-W</t>
  </si>
  <si>
    <t>78-D</t>
  </si>
  <si>
    <t>78-W</t>
  </si>
  <si>
    <t>79-D</t>
  </si>
  <si>
    <t>79-W</t>
  </si>
  <si>
    <t>80-D</t>
  </si>
  <si>
    <t>80-W</t>
  </si>
  <si>
    <t>81-D</t>
  </si>
  <si>
    <t>81-W</t>
  </si>
  <si>
    <t>82-D</t>
  </si>
  <si>
    <t>82-W</t>
  </si>
  <si>
    <t>83-D</t>
  </si>
  <si>
    <t>83-W</t>
  </si>
  <si>
    <t>84-D</t>
  </si>
  <si>
    <t>84-W</t>
  </si>
  <si>
    <t>85-D</t>
  </si>
  <si>
    <t>85-W</t>
  </si>
  <si>
    <t>86-D</t>
  </si>
  <si>
    <t>86-W</t>
  </si>
  <si>
    <t>87-D</t>
  </si>
  <si>
    <t>87-W</t>
  </si>
  <si>
    <t>88-D</t>
  </si>
  <si>
    <t>88-W</t>
  </si>
  <si>
    <t>89-D</t>
  </si>
  <si>
    <t>89-W</t>
  </si>
  <si>
    <t>90-D</t>
  </si>
  <si>
    <t>90-W</t>
  </si>
  <si>
    <t>91-D</t>
  </si>
  <si>
    <t>91-W</t>
  </si>
  <si>
    <t>92-D</t>
  </si>
  <si>
    <t>92-W</t>
  </si>
  <si>
    <t>93-D</t>
  </si>
  <si>
    <t>93-W</t>
  </si>
  <si>
    <t>94-D</t>
  </si>
  <si>
    <t>94-W</t>
  </si>
  <si>
    <t>95-D</t>
  </si>
  <si>
    <t>95-W</t>
  </si>
  <si>
    <t>96-D</t>
  </si>
  <si>
    <t>96-W</t>
  </si>
  <si>
    <t>97-D</t>
  </si>
  <si>
    <t>97-W</t>
  </si>
  <si>
    <t>98-D</t>
  </si>
  <si>
    <t>98-W</t>
  </si>
  <si>
    <t>99-D</t>
  </si>
  <si>
    <t>99-W</t>
  </si>
  <si>
    <t>2000-D</t>
  </si>
  <si>
    <t>2000-W</t>
  </si>
  <si>
    <t>2001-D</t>
  </si>
  <si>
    <t>2001-W</t>
  </si>
  <si>
    <t>2002-D</t>
  </si>
  <si>
    <t>2002-W</t>
  </si>
  <si>
    <t>2003-D</t>
  </si>
  <si>
    <t>2003-W</t>
  </si>
  <si>
    <t>2004-D</t>
  </si>
  <si>
    <t>2004-W</t>
  </si>
  <si>
    <t>2005-D</t>
  </si>
  <si>
    <t>2005-W</t>
  </si>
  <si>
    <t>2006-D</t>
  </si>
  <si>
    <t>2006-W</t>
  </si>
  <si>
    <t>2007-D</t>
  </si>
  <si>
    <t>2007-W</t>
  </si>
  <si>
    <t>2008-D</t>
  </si>
  <si>
    <t>2008-W</t>
  </si>
  <si>
    <t>2009-D</t>
  </si>
  <si>
    <t>2009-W</t>
  </si>
  <si>
    <t>2010-D</t>
  </si>
  <si>
    <t>2010-W</t>
  </si>
  <si>
    <t>2011-D</t>
  </si>
  <si>
    <t>2011-W</t>
  </si>
  <si>
    <t>2012-D</t>
  </si>
  <si>
    <t>2012-W</t>
  </si>
  <si>
    <t>2013-D</t>
  </si>
  <si>
    <t>2013-W</t>
  </si>
  <si>
    <t>2014-D</t>
  </si>
  <si>
    <t>2014-W</t>
  </si>
  <si>
    <t>2015-D</t>
  </si>
  <si>
    <t>2015-W</t>
  </si>
  <si>
    <t>2016-D</t>
  </si>
  <si>
    <t>2016-W</t>
  </si>
  <si>
    <t>Sub-total</t>
  </si>
  <si>
    <t>Add old accounts: Prior to July 1,1975</t>
  </si>
  <si>
    <t>TOTAL</t>
  </si>
  <si>
    <t>Note: If you have any problem with your account and our services, please feel free to see us in our office.</t>
  </si>
  <si>
    <t>Prepared by:</t>
  </si>
  <si>
    <t xml:space="preserve">     Checked by:</t>
  </si>
  <si>
    <t xml:space="preserve">                                      Recommending Approval:</t>
  </si>
  <si>
    <t>Approved:</t>
  </si>
  <si>
    <t>CATHERINE DC. AUSTRIA</t>
  </si>
  <si>
    <t>MAGNOLIA L. TAYAO</t>
  </si>
  <si>
    <t>JUANITO C. VALONES</t>
  </si>
  <si>
    <t>ROBERTO J. DELA CRUZ</t>
  </si>
  <si>
    <t>Accounting Proc. A</t>
  </si>
  <si>
    <t>Head, Billing Unit</t>
  </si>
  <si>
    <t xml:space="preserve">O&amp;M Chief </t>
  </si>
  <si>
    <t>Manager, BANE IMO</t>
  </si>
  <si>
    <t>Republika ng Pilipinas</t>
  </si>
  <si>
    <t>National Irrigation Administration</t>
  </si>
  <si>
    <t xml:space="preserve">Bulacan – Aurora – Nueva Ecija Irrigation Management Office </t>
  </si>
  <si>
    <t>Tambubong, San Rafael, Bulacan</t>
  </si>
  <si>
    <t>Office Address  : Tambubong, San Rafael,  Bulacan</t>
  </si>
  <si>
    <t>Telefax No. (044) 766-3888</t>
  </si>
  <si>
    <t xml:space="preserve">Telephone Nos. :  (044) 766-3888 </t>
  </si>
  <si>
    <t>TIN No.  000-578-009-000</t>
  </si>
  <si>
    <t>Email Address   :  niabaneimoafs@yahoo.com</t>
  </si>
  <si>
    <t>MA. BLANCA B. ALDOVINO</t>
  </si>
  <si>
    <t>ANGELITO S. MIGUEL</t>
  </si>
  <si>
    <t>Billing Clerk</t>
  </si>
  <si>
    <t xml:space="preserve">                 Head, Billing Unit</t>
  </si>
  <si>
    <t xml:space="preserve">Acting, O&amp;M Chief </t>
  </si>
  <si>
    <t>Form 1</t>
  </si>
  <si>
    <t>REGISTRY OF LANDOWNERS, FARMERS, AND OTHER IRRIGATION WATER USERS</t>
  </si>
  <si>
    <t>(2)</t>
  </si>
  <si>
    <r>
      <rPr>
        <sz val="9"/>
        <color indexed="8"/>
        <rFont val="Arial"/>
        <family val="2"/>
      </rPr>
      <t>(6)</t>
    </r>
    <r>
      <rPr>
        <sz val="12"/>
        <color indexed="8"/>
        <rFont val="Arial"/>
        <family val="2"/>
      </rPr>
      <t xml:space="preserve"> </t>
    </r>
    <r>
      <rPr>
        <b/>
        <sz val="12"/>
        <color indexed="8"/>
        <rFont val="Arial"/>
        <family val="2"/>
      </rPr>
      <t xml:space="preserve">Turnout Service Area Group/Sector No. or Name: </t>
    </r>
    <r>
      <rPr>
        <b/>
        <u/>
        <sz val="12"/>
        <color indexed="8"/>
        <rFont val="Arial"/>
        <family val="2"/>
      </rPr>
      <t xml:space="preserve">     </t>
    </r>
  </si>
  <si>
    <t>(4)</t>
  </si>
  <si>
    <t>Lot Number</t>
  </si>
  <si>
    <t>Lot Area (ha)</t>
  </si>
  <si>
    <t>Location of Lot</t>
  </si>
  <si>
    <t>Proof of Ownership</t>
  </si>
  <si>
    <t>Name of Landowner</t>
  </si>
  <si>
    <t>Address of Landowner</t>
  </si>
  <si>
    <t>Name of Farmer (ActualTiller) or Water User</t>
  </si>
  <si>
    <t>Address of Farmer (ActualTiller) or Water User</t>
  </si>
  <si>
    <t>Status of Exemption</t>
  </si>
  <si>
    <t>REMARKS</t>
  </si>
  <si>
    <t>(10)</t>
  </si>
  <si>
    <t>Barangay</t>
  </si>
  <si>
    <t>Municipality/ City</t>
  </si>
  <si>
    <t>Province</t>
  </si>
  <si>
    <t>(12)</t>
  </si>
  <si>
    <t>Family Name</t>
  </si>
  <si>
    <t>First Name</t>
  </si>
  <si>
    <t>Middle Name</t>
  </si>
  <si>
    <t>Exempted</t>
  </si>
  <si>
    <t>Not Exempted</t>
  </si>
  <si>
    <t>(9)</t>
  </si>
  <si>
    <t>(11)</t>
  </si>
  <si>
    <t>(13)</t>
  </si>
  <si>
    <t>(14)</t>
  </si>
  <si>
    <t>(15)</t>
  </si>
  <si>
    <t>(16)</t>
  </si>
  <si>
    <t>(17)</t>
  </si>
  <si>
    <t>(18)</t>
  </si>
  <si>
    <t>(19)</t>
  </si>
  <si>
    <t>(20)</t>
  </si>
  <si>
    <t>(21)</t>
  </si>
  <si>
    <t>(22)</t>
  </si>
  <si>
    <t>(23)</t>
  </si>
  <si>
    <t>(24)</t>
  </si>
  <si>
    <t>(25)</t>
  </si>
  <si>
    <t>(26)</t>
  </si>
  <si>
    <t>(27)</t>
  </si>
  <si>
    <t>(28)</t>
  </si>
  <si>
    <t>(29)</t>
  </si>
  <si>
    <t>GUINTO</t>
  </si>
  <si>
    <t>MARCELO</t>
  </si>
  <si>
    <t>ü</t>
  </si>
  <si>
    <t>Submitted by:</t>
  </si>
  <si>
    <t>Approved by:</t>
  </si>
  <si>
    <t>Accounting Processor A</t>
  </si>
  <si>
    <t>Chief, O &amp; M Section</t>
  </si>
  <si>
    <t>PARTIAL LIST OF FARMERS AVAIL FOR CONDONATION</t>
  </si>
  <si>
    <t>LOT NO.</t>
  </si>
  <si>
    <t>AREA</t>
  </si>
  <si>
    <t>LANDOWNER</t>
  </si>
  <si>
    <t>TILLER</t>
  </si>
  <si>
    <t>UNPAID ISF</t>
  </si>
  <si>
    <t>PRINCIPAL</t>
  </si>
  <si>
    <t>PENALTY</t>
  </si>
  <si>
    <t>PRIOR</t>
  </si>
  <si>
    <t xml:space="preserve"> Accounting Processor A</t>
  </si>
  <si>
    <t>Surname</t>
  </si>
  <si>
    <t>Division</t>
  </si>
  <si>
    <t>Lot No.</t>
  </si>
  <si>
    <t>Baranggay</t>
  </si>
  <si>
    <t>Municipality/City</t>
  </si>
  <si>
    <t>Address of Land Owner</t>
  </si>
  <si>
    <t>Address of Farmer/Land Tiller</t>
  </si>
  <si>
    <t>Name of Land Owner</t>
  </si>
  <si>
    <t>Name of Farmer/Land Tiller</t>
  </si>
  <si>
    <t>Name of IA</t>
  </si>
  <si>
    <t>ACCOUNT DETAILS</t>
  </si>
  <si>
    <t>Wet/Dry</t>
  </si>
  <si>
    <t>Year</t>
  </si>
  <si>
    <t>IRRIGATION FEE REGISTRY (IFR)</t>
  </si>
  <si>
    <t>STATEMENT OF ACCOUNT FOR UNPAID IRRIGATION SERVICE FEE (ISF) 
OF EXEMPT LANDOWNERS/FARMERS PER RA 10969
 as of February 24, 2018</t>
  </si>
  <si>
    <t>IRR FISA Form 2</t>
  </si>
  <si>
    <t xml:space="preserve">Name of Irrigation System: AMRIS </t>
  </si>
  <si>
    <t>Region: III</t>
  </si>
  <si>
    <t>Name of Landowner (First, Middle, Family):</t>
  </si>
  <si>
    <t>Address of Landowner (Barangay, Municipality/City, Province):</t>
  </si>
  <si>
    <t>Name of Actual Tiller/Farmer (First, Middle, Family):</t>
  </si>
  <si>
    <t xml:space="preserve">Address of Actual Tiller/Farmer (Barangay, Municipality/City, Province): </t>
  </si>
  <si>
    <t>INTEREST</t>
  </si>
  <si>
    <t>Accumulated Unpaid ISF (P) 1/</t>
  </si>
  <si>
    <t>PENALTIES</t>
  </si>
  <si>
    <t>Bookkeeper/Billing Clerk</t>
  </si>
  <si>
    <t>Checked by:</t>
  </si>
  <si>
    <t>(Signature above printed name)</t>
  </si>
  <si>
    <t>Location of Lot
(Barangay, Municipality/City, Province)</t>
  </si>
  <si>
    <t>IRR FISA Form 3</t>
  </si>
  <si>
    <t>REQUEST FOR CONDONATION AND WRITING OFF OF 
UNPAID IRRIGATION SERVICE FEE PER RA 10969</t>
  </si>
  <si>
    <t>1.</t>
  </si>
  <si>
    <t>Not more than eight (8) hectares in aggregate, regardless of location, and not necessary contiguous Farm lots;</t>
  </si>
  <si>
    <t>Not a corporate farm or plantation;</t>
  </si>
  <si>
    <t>Not a fishpond or for other non-agricultural crop use; and</t>
  </si>
  <si>
    <t>2.</t>
  </si>
  <si>
    <t>3.</t>
  </si>
  <si>
    <t>Not using the irrigation system as drainage facilities.</t>
  </si>
  <si>
    <t>4.</t>
  </si>
  <si>
    <t>In view hereof, may I request that said unpaid ISF be condoned and written off  from the books of the National Irrigation Administration per section 4 of Republic Act 10969 otherwise known as the Free Irrigation Service Act (FISA).</t>
  </si>
  <si>
    <t xml:space="preserve">             This is to likewise attest that my landholding / (landholdings of landowner) covered by the service area of any National Irrigation System or Communal Irrigation System is:</t>
  </si>
  <si>
    <t xml:space="preserve">             This is to acknowledge the correctness of the statement of account for unpaid ISF shown in the attached IRR FISA Form 2 as of the date indicated thereat.</t>
  </si>
  <si>
    <t>Requested by:</t>
  </si>
  <si>
    <t>Name of Landowner/Name of Actual Tiller</t>
  </si>
  <si>
    <t>(Signature above printed name*Anyone may Request &amp; sign)</t>
  </si>
  <si>
    <t>JOSEPHINE B. SALAZAR</t>
  </si>
  <si>
    <t xml:space="preserve">Regional Irrigation Manager        </t>
  </si>
  <si>
    <t>Recommending Approval:</t>
  </si>
  <si>
    <t>IRR FISA Form 6</t>
  </si>
  <si>
    <t>Not more than eight (8) hectares in aggregate, regardless of location, and not necessarily contiguous farm lots;</t>
  </si>
  <si>
    <t xml:space="preserve">             I further attest that I shall be held liable for any misdeclaration regarding said landholding.</t>
  </si>
  <si>
    <t xml:space="preserve">             In view hereof, may I request for the issuance of Certificate of Exemption in the Payment of Irrigation Service Fee for my landholding/s described above.</t>
  </si>
  <si>
    <t>CERTIFICATE OF EXEMPTION IN THE PAYMENT OF IRRIGATION SERVICE FEE</t>
  </si>
  <si>
    <t>ACKNOWLEDGEMENT</t>
  </si>
  <si>
    <t>REPUBLIC OF THE PHILIPPINES         )) SS</t>
  </si>
  <si>
    <t>BEFORE ME, this _____ day of _________________, 20_______, personally appeared:</t>
  </si>
  <si>
    <t>Name</t>
  </si>
  <si>
    <t>CTC No.</t>
  </si>
  <si>
    <t>Date/Place Issued</t>
  </si>
  <si>
    <t>Known to me and known to be the same persons who executed the foregoing instrument of _____ (4) pages including this page of acknowledgement, and acknowledged to me that the same is their free and voluntary act and deed, as well as the free and voluntary act and deed of the principals they represent.</t>
  </si>
  <si>
    <t>IN TESTIMONY WHEREOF, I have hereunto set my hand and affixed my notarial seal at the place and on the date first above written.</t>
  </si>
  <si>
    <t>NOTARY PUBLIC</t>
  </si>
  <si>
    <t>Doc. No. _________________;</t>
  </si>
  <si>
    <t>Page No. _________________;</t>
  </si>
  <si>
    <t>Book No. ________________;</t>
  </si>
  <si>
    <t>Series of _______________</t>
  </si>
  <si>
    <t>IRR FISA Form 7</t>
  </si>
  <si>
    <t>REQUESTED BY</t>
  </si>
  <si>
    <t>Name of Requester</t>
  </si>
  <si>
    <t>Address of Requester</t>
  </si>
  <si>
    <t>*</t>
  </si>
  <si>
    <t>LANDOWNER’S DECLARATION AND REQUEST FOR ISSUANCE OF CERTIFICATE OF EXEMPTION IN THE PAYMENT OF IRRIGATION SERVICE FEE</t>
  </si>
  <si>
    <t>LEOPOLDO Q. MANIEGO</t>
  </si>
  <si>
    <t>Manager, BULACAN IMO</t>
  </si>
  <si>
    <t>REPUBLIC OF THE PHILIPPINES</t>
  </si>
  <si>
    <t>NATIONAL IRRIGATION ADMINISTRATION</t>
  </si>
  <si>
    <t>REGIONAL OFFICE NO. III (CENTRAL LUZON)</t>
  </si>
  <si>
    <t>BULACAN IRRIGATION MANAGEMENT OFFICE</t>
  </si>
  <si>
    <t xml:space="preserve">IMO: BULACAN IMO	</t>
  </si>
  <si>
    <t>__________________________________________________</t>
  </si>
  <si>
    <t>____________________________________________________________</t>
  </si>
  <si>
    <t xml:space="preserve">        Regional Irrigation Manager        </t>
  </si>
  <si>
    <r>
      <rPr/>
      <t xml:space="preserve">Name of Farmers: </t>
    </r>
    <r>
      <rPr>
        <b/>
        <sz val="11"/>
        <color indexed="8"/>
        <rFont val="Arial"/>
        <family val="2"/>
      </rPr>
      <t xml:space="preserve"> </t>
    </r>
  </si>
  <si>
    <r>
      <rPr/>
      <t>(</t>
    </r>
    <r>
      <rPr>
        <sz val="9"/>
        <rFont val="Arial Narrow"/>
        <family val="2"/>
      </rPr>
      <t>Pambansang Pangasiwaan ng Patubig</t>
    </r>
    <r>
      <rPr>
        <sz val="10"/>
        <rFont val="Arial Narrow"/>
        <family val="2"/>
      </rPr>
      <t>)</t>
    </r>
  </si>
  <si>
    <r>
      <rPr/>
      <t xml:space="preserve">Name of Farmers: </t>
    </r>
    <r>
      <rPr>
        <b/>
        <sz val="10"/>
        <rFont val="Arial"/>
        <family val="2"/>
      </rPr>
      <t xml:space="preserve"> </t>
    </r>
  </si>
  <si>
    <r>
      <rPr/>
      <t xml:space="preserve">            </t>
    </r>
    <r>
      <rPr>
        <b/>
        <u/>
        <sz val="10"/>
        <rFont val="Arial"/>
        <family val="2"/>
      </rPr>
      <t>GLORIA M. SANTIAGO</t>
    </r>
  </si>
  <si>
    <r>
      <rPr/>
      <t xml:space="preserve">Region: </t>
    </r>
    <r>
      <rPr>
        <b/>
        <u/>
        <sz val="11"/>
        <color indexed="8"/>
        <rFont val="Arial"/>
        <family val="2"/>
      </rPr>
      <t xml:space="preserve">    III    </t>
    </r>
  </si>
  <si>
    <r>
      <rPr/>
      <t>(3)</t>
    </r>
    <r>
      <rPr>
        <b/>
        <sz val="9"/>
        <color indexed="8"/>
        <rFont val="Arial"/>
        <family val="2"/>
      </rPr>
      <t xml:space="preserve"> </t>
    </r>
  </si>
  <si>
    <r>
      <rPr/>
      <t xml:space="preserve">IMO: </t>
    </r>
    <r>
      <rPr>
        <b/>
        <u/>
        <sz val="11"/>
        <color indexed="8"/>
        <rFont val="Arial"/>
        <family val="2"/>
      </rPr>
      <t xml:space="preserve">   </t>
    </r>
    <r>
      <rPr>
        <b/>
        <u/>
        <sz val="11"/>
        <color rgb="FF000000"/>
        <rFont val="Arial"/>
        <family val="2"/>
      </rPr>
      <t>BULACAN</t>
    </r>
    <r>
      <rPr>
        <b/>
        <u/>
        <sz val="11"/>
        <color indexed="8"/>
        <rFont val="Arial"/>
        <family val="2"/>
      </rPr>
      <t xml:space="preserve">  </t>
    </r>
  </si>
  <si>
    <r>
      <rPr/>
      <t xml:space="preserve">Name of NIS/CIS: </t>
    </r>
    <r>
      <rPr>
        <b/>
        <u/>
        <sz val="11"/>
        <color indexed="8"/>
        <rFont val="Arial"/>
        <family val="2"/>
      </rPr>
      <t xml:space="preserve">    </t>
    </r>
    <r>
      <rPr>
        <b/>
        <u/>
        <sz val="11"/>
        <color indexed="8"/>
        <rFont val="Arial"/>
        <family val="2"/>
      </rPr>
      <t xml:space="preserve">AMRIS   </t>
    </r>
  </si>
  <si>
    <r>
      <rPr/>
      <t xml:space="preserve">             This is to declare that my landholding covered by the service area of any National Irrigation System or Communal Irrigation System as of February 24, 2018 – the date of effectivity of </t>
    </r>
    <r>
      <rPr>
        <b/>
        <sz val="11"/>
        <color theme="1"/>
        <rFont val="Cambria"/>
        <family val="1"/>
      </rPr>
      <t>RA 10969</t>
    </r>
    <r>
      <rPr>
        <sz val="11"/>
        <color theme="1"/>
        <rFont val="Cambria"/>
        <family val="1"/>
      </rPr>
      <t xml:space="preserve"> otherwise known as the </t>
    </r>
    <r>
      <rPr>
        <b/>
        <sz val="11"/>
        <color theme="1"/>
        <rFont val="Cambria"/>
        <family val="1"/>
      </rPr>
      <t>Free Irrigation Service Act (FISA)</t>
    </r>
    <r>
      <rPr>
        <sz val="11"/>
        <color theme="1"/>
        <rFont val="Cambria"/>
        <family val="1"/>
      </rPr>
      <t xml:space="preserve"> – is: </t>
    </r>
  </si>
  <si>
    <r>
      <rPr/>
      <t xml:space="preserve">             Based on the </t>
    </r>
    <r>
      <rPr>
        <b/>
        <sz val="12"/>
        <color theme="1"/>
        <rFont val="Cambria"/>
        <family val="1"/>
      </rPr>
      <t>Registry of Landowners, Farmers, and Other Irrigation Water Users (IRR FISA Form 1)</t>
    </r>
    <r>
      <rPr>
        <sz val="12"/>
        <color theme="1"/>
        <rFont val="Cambria"/>
        <family val="1"/>
      </rPr>
      <t xml:space="preserve"> of this Office, and the attached </t>
    </r>
    <r>
      <rPr>
        <b/>
        <sz val="12"/>
        <color theme="1"/>
        <rFont val="Cambria"/>
        <family val="1"/>
      </rPr>
      <t>Landowner’s Declaration (IRR FISA Form 6)</t>
    </r>
    <r>
      <rPr>
        <sz val="12"/>
        <color theme="1"/>
        <rFont val="Cambria"/>
        <family val="1"/>
      </rPr>
      <t xml:space="preserve">, the landholding owned by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with address at):  </t>
    </r>
    <r>
      <rPr>
        <b/>
        <u/>
        <sz val="12"/>
        <color theme="1"/>
        <rFont val="Cambria"/>
        <family val="1"/>
      </rPr>
      <t>San Isidro, San Luis, Pampanga</t>
    </r>
    <r>
      <rPr>
        <sz val="12"/>
        <color theme="1"/>
        <rFont val="Cambria"/>
        <family val="1"/>
      </rPr>
      <t xml:space="preserve"> is </t>
    </r>
    <r>
      <rPr>
        <b/>
        <sz val="12"/>
        <color theme="1"/>
        <rFont val="Cambria"/>
        <family val="1"/>
      </rPr>
      <t>EXEMPTED</t>
    </r>
    <r>
      <rPr>
        <sz val="12"/>
        <color theme="1"/>
        <rFont val="Cambria"/>
        <family val="1"/>
      </rPr>
      <t xml:space="preserve"> in the payment of Irrigation Service Fee per RA 10969 otherwise known as the </t>
    </r>
    <r>
      <rPr>
        <b/>
        <sz val="12"/>
        <color theme="1"/>
        <rFont val="Cambria"/>
        <family val="1"/>
      </rPr>
      <t>Free Irrigation Service Act (FISA)</t>
    </r>
    <r>
      <rPr>
        <sz val="12"/>
        <color theme="1"/>
        <rFont val="Cambria"/>
        <family val="1"/>
      </rPr>
      <t>.</t>
    </r>
  </si>
  <si>
    <r>
      <rPr/>
      <t xml:space="preserve">             This certification is issued to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on _____________________________, 2022 at Tambubong, San Rafael, Bulacan for whatever legal purpose it may serve.</t>
    </r>
  </si>
  <si>
    <t xml:space="preserve">2512-C-10B</t>
  </si>
  <si>
    <t xml:space="preserve">BAGONG BUHAY IA</t>
  </si>
  <si>
    <t xml:space="preserve">TIBURCIO</t>
  </si>
  <si>
    <t xml:space="preserve">PUNZALAN</t>
  </si>
  <si>
    <t xml:space="preserve">FERNANDO</t>
  </si>
  <si>
    <t xml:space="preserve">SILVESTRE</t>
  </si>
  <si>
    <t xml:space="preserve">DRY</t>
  </si>
  <si>
    <r>
      <rPr/>
      <t xml:space="preserve">Name of Farmers: </t>
    </r>
    <r>
      <rPr>
        <b/>
        <sz val="11"/>
        <color indexed="8"/>
        <rFont val="Arial"/>
        <family val="2"/>
      </rPr>
      <t xml:space="preserve"> </t>
    </r>
  </si>
  <si>
    <r>
      <rPr/>
      <t>(</t>
    </r>
    <r>
      <rPr>
        <sz val="9"/>
        <rFont val="Arial Narrow"/>
        <family val="2"/>
      </rPr>
      <t>Pambansang Pangasiwaan ng Patubig</t>
    </r>
    <r>
      <rPr>
        <sz val="10"/>
        <rFont val="Arial Narrow"/>
        <family val="2"/>
      </rPr>
      <t>)</t>
    </r>
  </si>
  <si>
    <r>
      <rPr/>
      <t xml:space="preserve">Name of Farmers: </t>
    </r>
    <r>
      <rPr>
        <b/>
        <sz val="10"/>
        <rFont val="Arial"/>
        <family val="2"/>
      </rPr>
      <t xml:space="preserve"> </t>
    </r>
  </si>
  <si>
    <r>
      <rPr/>
      <t xml:space="preserve">            </t>
    </r>
    <r>
      <rPr>
        <b/>
        <u/>
        <sz val="10"/>
        <rFont val="Arial"/>
        <family val="2"/>
      </rPr>
      <t>GLORIA M. SANTIAGO</t>
    </r>
  </si>
  <si>
    <r>
      <rPr/>
      <t xml:space="preserve">Region: </t>
    </r>
    <r>
      <rPr>
        <b/>
        <u/>
        <sz val="11"/>
        <color indexed="8"/>
        <rFont val="Arial"/>
        <family val="2"/>
      </rPr>
      <t xml:space="preserve">    III    </t>
    </r>
  </si>
  <si>
    <r>
      <rPr/>
      <t>(3)</t>
    </r>
    <r>
      <rPr>
        <b/>
        <sz val="9"/>
        <color indexed="8"/>
        <rFont val="Arial"/>
        <family val="2"/>
      </rPr>
      <t xml:space="preserve"> </t>
    </r>
  </si>
  <si>
    <r>
      <rPr/>
      <t xml:space="preserve">IMO: </t>
    </r>
    <r>
      <rPr>
        <b/>
        <u/>
        <sz val="11"/>
        <color indexed="8"/>
        <rFont val="Arial"/>
        <family val="2"/>
      </rPr>
      <t xml:space="preserve">   </t>
    </r>
    <r>
      <rPr>
        <b/>
        <u/>
        <sz val="11"/>
        <color rgb="FF000000"/>
        <rFont val="Arial"/>
        <family val="2"/>
      </rPr>
      <t>BULACAN</t>
    </r>
    <r>
      <rPr>
        <b/>
        <u/>
        <sz val="11"/>
        <color indexed="8"/>
        <rFont val="Arial"/>
        <family val="2"/>
      </rPr>
      <t xml:space="preserve">  </t>
    </r>
  </si>
  <si>
    <r>
      <rPr/>
      <t xml:space="preserve">Name of NIS/CIS: </t>
    </r>
    <r>
      <rPr>
        <b/>
        <u/>
        <sz val="11"/>
        <color indexed="8"/>
        <rFont val="Arial"/>
        <family val="2"/>
      </rPr>
      <t xml:space="preserve">    </t>
    </r>
    <r>
      <rPr>
        <b/>
        <u/>
        <sz val="11"/>
        <color indexed="8"/>
        <rFont val="Arial"/>
        <family val="2"/>
      </rPr>
      <t xml:space="preserve">AMRIS   </t>
    </r>
  </si>
  <si>
    <r>
      <rPr/>
      <t xml:space="preserve">             This is to declare that my landholding covered by the service area of any National Irrigation System or Communal Irrigation System as of February 24, 2018 – the date of effectivity of </t>
    </r>
    <r>
      <rPr>
        <b/>
        <sz val="11"/>
        <color theme="1"/>
        <rFont val="Cambria"/>
        <family val="1"/>
      </rPr>
      <t>RA 10969</t>
    </r>
    <r>
      <rPr>
        <sz val="11"/>
        <color theme="1"/>
        <rFont val="Cambria"/>
        <family val="1"/>
      </rPr>
      <t xml:space="preserve"> otherwise known as the </t>
    </r>
    <r>
      <rPr>
        <b/>
        <sz val="11"/>
        <color theme="1"/>
        <rFont val="Cambria"/>
        <family val="1"/>
      </rPr>
      <t>Free Irrigation Service Act (FISA)</t>
    </r>
    <r>
      <rPr>
        <sz val="11"/>
        <color theme="1"/>
        <rFont val="Cambria"/>
        <family val="1"/>
      </rPr>
      <t xml:space="preserve"> – is: </t>
    </r>
  </si>
  <si>
    <r>
      <rPr/>
      <t xml:space="preserve">             Based on the </t>
    </r>
    <r>
      <rPr>
        <b/>
        <sz val="12"/>
        <color theme="1"/>
        <rFont val="Cambria"/>
        <family val="1"/>
      </rPr>
      <t>Registry of Landowners, Farmers, and Other Irrigation Water Users (IRR FISA Form 1)</t>
    </r>
    <r>
      <rPr>
        <sz val="12"/>
        <color theme="1"/>
        <rFont val="Cambria"/>
        <family val="1"/>
      </rPr>
      <t xml:space="preserve"> of this Office, and the attached </t>
    </r>
    <r>
      <rPr>
        <b/>
        <sz val="12"/>
        <color theme="1"/>
        <rFont val="Cambria"/>
        <family val="1"/>
      </rPr>
      <t>Landowner’s Declaration (IRR FISA Form 6)</t>
    </r>
    <r>
      <rPr>
        <sz val="12"/>
        <color theme="1"/>
        <rFont val="Cambria"/>
        <family val="1"/>
      </rPr>
      <t xml:space="preserve">, the landholding owned by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with address at):  </t>
    </r>
    <r>
      <rPr>
        <b/>
        <u/>
        <sz val="12"/>
        <color theme="1"/>
        <rFont val="Cambria"/>
        <family val="1"/>
      </rPr>
      <t>San Isidro, San Luis, Pampanga</t>
    </r>
    <r>
      <rPr>
        <sz val="12"/>
        <color theme="1"/>
        <rFont val="Cambria"/>
        <family val="1"/>
      </rPr>
      <t xml:space="preserve"> is </t>
    </r>
    <r>
      <rPr>
        <b/>
        <sz val="12"/>
        <color theme="1"/>
        <rFont val="Cambria"/>
        <family val="1"/>
      </rPr>
      <t>EXEMPTED</t>
    </r>
    <r>
      <rPr>
        <sz val="12"/>
        <color theme="1"/>
        <rFont val="Cambria"/>
        <family val="1"/>
      </rPr>
      <t xml:space="preserve"> in the payment of Irrigation Service Fee per RA 10969 otherwise known as the </t>
    </r>
    <r>
      <rPr>
        <b/>
        <sz val="12"/>
        <color theme="1"/>
        <rFont val="Cambria"/>
        <family val="1"/>
      </rPr>
      <t>Free Irrigation Service Act (FISA)</t>
    </r>
    <r>
      <rPr>
        <sz val="12"/>
        <color theme="1"/>
        <rFont val="Cambria"/>
        <family val="1"/>
      </rPr>
      <t>.</t>
    </r>
  </si>
  <si>
    <r>
      <rPr/>
      <t xml:space="preserve">             This certification is issued to </t>
    </r>
    <r>
      <rPr>
        <b/>
        <u/>
        <sz val="12"/>
        <color theme="1"/>
        <rFont val="Cambria"/>
        <family val="1"/>
      </rPr>
      <t>Mr.</t>
    </r>
    <r>
      <rPr>
        <sz val="12"/>
        <color theme="1"/>
        <rFont val="Cambria"/>
        <family val="1"/>
      </rPr>
      <t xml:space="preserve"> /Mrs. /Ms. </t>
    </r>
    <r>
      <rPr>
        <b/>
        <u/>
        <sz val="12"/>
        <color theme="1"/>
        <rFont val="Cambria"/>
        <family val="1"/>
      </rPr>
      <t>ANTONIO SALAS</t>
    </r>
    <r>
      <rPr>
        <sz val="12"/>
        <color theme="1"/>
        <rFont val="Cambria"/>
        <family val="1"/>
      </rPr>
      <t xml:space="preserve"> on _____________________________, 2022 at Tambubong, San Rafael, Bulacan for whatever legal purpose it may serve.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</si>
</sst>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43" formatCode="_(* #,##0.00_);_(* \(#,##0.00\);_(* &quot;-&quot;??_);_(@_)"/>
    <numFmt numFmtId="164" formatCode="_-* #,##0.00_-;\-* #,##0.00_-;_-* &quot;-&quot;??_-;_-@_-"/>
    <numFmt numFmtId="165" formatCode="_(* #,##0_);_(* \(#,##0\);_(* &quot;-&quot;??_);_(@_)"/>
    <numFmt numFmtId="166" formatCode="0.0000"/>
  </numFmts>
  <fonts>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Cambria"/>
      <family val="1"/>
    </font>
    <font>
      <sz val="18"/>
      <name val="Staccato222 BT"/>
      <family val="4"/>
    </font>
    <font>
      <sz val="10"/>
      <name val="Arial Narrow"/>
      <family val="2"/>
    </font>
    <font>
      <b/>
      <sz val="12"/>
      <name val="Arial Narrow"/>
      <family val="2"/>
    </font>
    <font>
      <sz val="9"/>
      <name val="Arial Narrow"/>
      <family val="2"/>
    </font>
    <font>
      <sz val="10"/>
      <name val="Times New Roman"/>
      <family val="1"/>
    </font>
    <font>
      <sz val="16"/>
      <name val="Arial"/>
      <family val="2"/>
    </font>
    <font>
      <i/>
      <sz val="8"/>
      <name val="Arial"/>
      <family val="2"/>
    </font>
    <font>
      <b/>
      <u/>
      <sz val="10"/>
      <name val="Arial"/>
      <family val="2"/>
    </font>
    <font>
      <sz val="11"/>
      <color indexed="8"/>
      <name val="Arial"/>
      <family val="2"/>
    </font>
    <font>
      <b/>
      <u/>
      <sz val="14"/>
      <color indexed="8"/>
      <name val="Arial"/>
      <family val="2"/>
    </font>
    <font>
      <sz val="16"/>
      <color indexed="8"/>
      <name val="Arial"/>
      <family val="2"/>
    </font>
    <font>
      <b/>
      <u/>
      <sz val="10"/>
      <color indexed="8"/>
      <name val="Arial"/>
      <family val="2"/>
    </font>
    <font>
      <b/>
      <u/>
      <sz val="11"/>
      <color indexed="8"/>
      <name val="Arial"/>
      <family val="2"/>
    </font>
    <font>
      <b/>
      <sz val="11"/>
      <color indexed="8"/>
      <name val="Arial"/>
      <family val="2"/>
    </font>
    <font>
      <b/>
      <sz val="10"/>
      <color indexed="8"/>
      <name val="Arial"/>
      <family val="2"/>
    </font>
    <font>
      <b/>
      <sz val="10"/>
      <name val="Arial"/>
      <family val="2"/>
    </font>
    <font>
      <sz val="10"/>
      <color indexed="8"/>
      <name val="Arial"/>
      <family val="2"/>
    </font>
    <font>
      <sz val="11"/>
      <name val="Arial"/>
      <family val="2"/>
    </font>
    <font>
      <b/>
      <sz val="14"/>
      <name val="Arial"/>
      <family val="2"/>
    </font>
    <font>
      <i/>
      <sz val="10"/>
      <name val="Arial"/>
      <family val="2"/>
    </font>
    <font>
      <b/>
      <sz val="16"/>
      <name val="Arial"/>
      <family val="2"/>
    </font>
    <font>
      <b/>
      <u/>
      <sz val="16"/>
      <name val="Arial"/>
      <family val="2"/>
    </font>
    <font>
      <b/>
      <u/>
      <sz val="12"/>
      <name val="Arial"/>
      <family val="2"/>
    </font>
    <font>
      <b/>
      <sz val="12"/>
      <name val="Arial"/>
      <family val="2"/>
    </font>
    <font>
      <sz val="12"/>
      <name val="Times New Roman"/>
      <family val="1"/>
    </font>
    <font>
      <sz val="12"/>
      <name val="Arial"/>
      <family val="2"/>
    </font>
    <font>
      <b/>
      <sz val="18"/>
      <name val="Arial"/>
      <family val="2"/>
    </font>
    <font>
      <b/>
      <sz val="14"/>
      <color theme="1"/>
      <name val="Arial"/>
      <family val="2"/>
    </font>
    <font>
      <sz val="9"/>
      <name val="Arial"/>
      <family val="2"/>
    </font>
    <font>
      <sz val="11"/>
      <name val="Calibri"/>
      <family val="2"/>
      <scheme val="minor"/>
    </font>
    <font>
      <sz val="12"/>
      <color theme="1"/>
      <name val="Arial"/>
      <family val="2"/>
    </font>
    <font>
      <sz val="9"/>
      <color theme="1"/>
      <name val="Arial"/>
      <family val="2"/>
    </font>
    <font>
      <b/>
      <sz val="11"/>
      <color theme="1"/>
      <name val="Arial"/>
      <family val="2"/>
    </font>
    <font>
      <b/>
      <sz val="12"/>
      <color indexed="8"/>
      <name val="Arial"/>
      <family val="2"/>
    </font>
    <font>
      <sz val="9"/>
      <color indexed="8"/>
      <name val="Arial"/>
      <family val="2"/>
    </font>
    <font>
      <sz val="12"/>
      <color indexed="8"/>
      <name val="Arial"/>
      <family val="2"/>
    </font>
    <font>
      <b/>
      <sz val="12"/>
      <color theme="1"/>
      <name val="Arial"/>
      <family val="2"/>
    </font>
    <font>
      <b/>
      <sz val="9"/>
      <color indexed="8"/>
      <name val="Arial"/>
      <family val="2"/>
    </font>
    <font>
      <b/>
      <u/>
      <sz val="12"/>
      <color indexed="8"/>
      <name val="Arial"/>
      <family val="2"/>
    </font>
    <font>
      <sz val="11"/>
      <color theme="1"/>
      <name val="Arial"/>
      <family val="2"/>
    </font>
    <font>
      <b/>
      <sz val="12"/>
      <color theme="1"/>
      <name val="Calibri"/>
      <family val="2"/>
      <scheme val="minor"/>
    </font>
    <font>
      <sz val="9"/>
      <color theme="1"/>
      <name val="Wingdings"/>
      <charset val="2"/>
    </font>
    <font>
      <sz val="8"/>
      <color theme="1"/>
      <name val="Arial"/>
      <family val="2"/>
    </font>
    <font>
      <b/>
      <sz val="9"/>
      <name val="Arial"/>
      <family val="2"/>
    </font>
    <font>
      <b/>
      <sz val="13"/>
      <color theme="1"/>
      <name val="Calibri"/>
      <family val="2"/>
      <scheme val="minor"/>
    </font>
    <font>
      <sz val="12"/>
      <color theme="1"/>
      <name val="Calibri"/>
      <family val="2"/>
      <scheme val="minor"/>
    </font>
    <font>
      <b/>
      <u/>
      <sz val="12"/>
      <color theme="1"/>
      <name val="Calibri"/>
      <family val="2"/>
      <scheme val="minor"/>
    </font>
    <font>
      <sz val="11"/>
      <color theme="1"/>
      <name val="Cambria"/>
      <family val="1"/>
    </font>
    <font>
      <sz val="12"/>
      <name val="Calibri"/>
      <family val="2"/>
      <scheme val="minor"/>
    </font>
    <font>
      <b/>
      <sz val="11"/>
      <color theme="1"/>
      <name val="Cambria"/>
      <family val="1"/>
    </font>
    <font>
      <sz val="9"/>
      <color theme="1"/>
      <name val="Cambria"/>
      <family val="1"/>
    </font>
    <font>
      <b/>
      <u/>
      <sz val="10"/>
      <color theme="1"/>
      <name val="Cambria"/>
      <family val="1"/>
    </font>
    <font>
      <u/>
      <sz val="10"/>
      <color theme="1"/>
      <name val="Cambria"/>
      <family val="1"/>
    </font>
    <font>
      <b/>
      <sz val="9"/>
      <color theme="1"/>
      <name val="Cambria"/>
      <family val="1"/>
    </font>
    <font>
      <b/>
      <u/>
      <sz val="9"/>
      <color theme="1"/>
      <name val="Cambria"/>
      <family val="1"/>
    </font>
    <font>
      <sz val="9"/>
      <color theme="0"/>
      <name val="Arial"/>
      <family val="2"/>
    </font>
    <font>
      <sz val="9"/>
      <color theme="0"/>
      <name val="Wingdings"/>
      <charset val="2"/>
    </font>
    <font>
      <sz val="12"/>
      <color theme="0"/>
      <name val="Calibri"/>
      <family val="2"/>
      <scheme val="minor"/>
    </font>
    <font>
      <sz val="9"/>
      <color theme="0"/>
      <name val="Cambria"/>
      <family val="1"/>
    </font>
    <font>
      <i/>
      <sz val="10"/>
      <color theme="1"/>
      <name val="Cambria"/>
      <family val="1"/>
    </font>
    <font>
      <i/>
      <sz val="8"/>
      <color theme="1"/>
      <name val="Cambria"/>
      <family val="1"/>
    </font>
    <font>
      <u/>
      <sz val="11"/>
      <color theme="1"/>
      <name val="Cambria"/>
      <family val="1"/>
    </font>
    <font>
      <b/>
      <sz val="14"/>
      <color theme="1"/>
      <name val="Cambria"/>
      <family val="1"/>
    </font>
    <font>
      <sz val="14"/>
      <color theme="1"/>
      <name val="Calibri"/>
      <family val="2"/>
      <scheme val="minor"/>
    </font>
    <font>
      <sz val="14"/>
      <color theme="1"/>
      <name val="Cambria"/>
      <family val="1"/>
    </font>
    <font>
      <b/>
      <u/>
      <sz val="12"/>
      <color theme="1"/>
      <name val="Cambria"/>
      <family val="1"/>
    </font>
    <font>
      <b/>
      <sz val="12"/>
      <color theme="1"/>
      <name val="Cambria"/>
      <family val="1"/>
    </font>
    <font>
      <sz val="12"/>
      <color theme="1"/>
      <name val="Cambria"/>
      <family val="1"/>
    </font>
    <font>
      <sz val="10"/>
      <name val="Trajan Pro"/>
      <family val="1"/>
    </font>
    <font>
      <sz val="11"/>
      <name val="Trajan Pro"/>
      <family val="1"/>
    </font>
    <font>
      <sz val="13"/>
      <name val="Trajan Pro"/>
      <family val="1"/>
    </font>
    <font>
      <b/>
      <sz val="10"/>
      <name val="Trajan Pro"/>
      <family val="1"/>
    </font>
    <font>
      <b/>
      <u/>
      <sz val="11"/>
      <color rgb="FF000000"/>
      <name val="Arial"/>
      <family val="2"/>
    </font>
    <font>
      <sz val="11"/>
      <name val="Calibri"/>
      <family val="2"/>
    </font>
    <font>
      <sz val="11"/>
      <name val="Calibri"/>
      <family val="2"/>
    </font>
  </fonts>
  <fills>
    <fill>
      <patternFill patternType="none"/>
    </fill>
    <fill>
      <patternFill patternType="gray125"/>
    </fill>
    <fill>
      <patternFill patternType="none">
        <fgColor auto="1"/>
        <bgColor auto="1"/>
      </patternFill>
    </fill>
    <fill>
      <patternFill patternType="none">
        <fgColor auto="1"/>
        <bgColor auto="1"/>
      </patternFill>
    </fill>
  </fills>
  <borders>
    <border>
      <left/>
      <right/>
      <top/>
      <bottom/>
      <diagonal/>
    </border>
    <border>
      <left/>
      <right/>
      <top/>
      <bottom style="thin">
        <color indexed="64"/>
      </bottom>
      <diagonal/>
    </border>
    <border>
      <left/>
      <right/>
      <top/>
      <bottom style="medium">
        <color indexed="8"/>
      </bottom>
      <diagonal/>
    </border>
    <border>
      <left style="thin">
        <color indexed="8"/>
      </left>
      <right style="thin">
        <color indexed="8"/>
      </right>
      <top style="medium">
        <color indexed="8"/>
      </top>
      <bottom style="medium">
        <color indexed="64"/>
      </bottom>
      <diagonal/>
    </border>
    <border>
      <left style="thin">
        <color indexed="8"/>
      </left>
      <right style="thin">
        <color indexed="8"/>
      </right>
      <top style="medium">
        <color indexed="8"/>
      </top>
      <bottom style="medium">
        <color indexed="8"/>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right/>
      <top/>
      <bottom style="thin">
        <color indexed="8"/>
      </bottom>
      <diagonal/>
    </border>
    <border>
      <left style="thin">
        <color indexed="18"/>
      </left>
      <right style="thin">
        <color indexed="8"/>
      </right>
      <top style="medium">
        <color indexed="8"/>
      </top>
      <bottom style="thin">
        <color indexed="8"/>
      </bottom>
      <diagonal/>
    </border>
    <border>
      <left style="thin">
        <color indexed="18"/>
      </left>
      <right style="thin">
        <color indexed="8"/>
      </right>
      <top style="thin">
        <color indexed="8"/>
      </top>
      <bottom style="thin">
        <color indexed="8"/>
      </bottom>
      <diagonal/>
    </border>
    <border>
      <left style="thin">
        <color indexed="18"/>
      </left>
      <right style="thin">
        <color indexed="8"/>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3" fillId="0" borderId="0"/>
    <xf numFmtId="0" fontId="9" fillId="0" borderId="0"/>
    <xf numFmtId="0" fontId="3" fillId="0" borderId="0" applyFont="0" applyFill="0" applyBorder="0" applyAlignment="0" applyProtection="0"/>
    <xf numFmtId="0" fontId="3" fillId="0" borderId="0" applyFont="0" applyFill="0" applyBorder="0" applyAlignment="0" applyProtection="0"/>
    <xf numFmtId="43" fontId="1" fillId="0" borderId="0" applyFont="0" applyFill="0" applyBorder="0" applyAlignment="0" applyProtection="0"/>
  </cellStyleXfs>
  <cellXfs>
    <xf numFmtId="0" fontId="0" fillId="0" borderId="0" xfId="0"/>
    <xf numFmtId="0" fontId="3" fillId="0" borderId="0" xfId="2"/>
    <xf numFmtId="0" fontId="3" fillId="0" borderId="0" xfId="2" applyAlignment="1">
      <alignment horizontal="left"/>
    </xf>
    <xf numFmtId="0" fontId="6" fillId="0" borderId="0" xfId="2" applyFont="1"/>
    <xf numFmtId="0" fontId="3" fillId="0" borderId="0" xfId="3" applyFont="1"/>
    <xf numFmtId="0" fontId="6" fillId="0" borderId="0" xfId="2" applyFont="1" applyAlignment="1">
      <alignment horizontal="left"/>
    </xf>
    <xf numFmtId="0" fontId="12" fillId="0" borderId="0" xfId="3" quotePrefix="1" applyFont="1" applyAlignment="1">
      <alignment horizontal="left"/>
    </xf>
    <xf numFmtId="0" fontId="3" fillId="0" borderId="0" xfId="3" applyFont="1" applyAlignment="1">
      <alignment horizontal="center"/>
    </xf>
    <xf numFmtId="0" fontId="14" fillId="0" borderId="0" xfId="3" quotePrefix="1" applyFont="1" applyAlignment="1">
      <alignment horizontal="left"/>
    </xf>
    <xf numFmtId="0" fontId="15" fillId="0" borderId="0" xfId="3" applyFont="1"/>
    <xf numFmtId="0" fontId="13" fillId="0" borderId="0" xfId="3" applyFont="1"/>
    <xf numFmtId="0" fontId="13" fillId="0" borderId="0" xfId="3" applyFont="1" applyAlignment="1">
      <alignment horizontal="right"/>
    </xf>
    <xf numFmtId="16" fontId="16" fillId="0" borderId="0" xfId="3" applyNumberFormat="1" applyFont="1" applyAlignment="1">
      <alignment horizontal="left"/>
    </xf>
    <xf numFmtId="0" fontId="17" fillId="0" borderId="0" xfId="3" applyFont="1" applyAlignment="1">
      <alignment horizontal="left"/>
    </xf>
    <xf numFmtId="0" fontId="14" fillId="0" borderId="0" xfId="3" applyFont="1" applyAlignment="1">
      <alignment horizontal="left"/>
    </xf>
    <xf numFmtId="2" fontId="16" fillId="0" borderId="0" xfId="3" applyNumberFormat="1" applyFont="1" applyAlignment="1">
      <alignment horizontal="left"/>
    </xf>
    <xf numFmtId="0" fontId="18" fillId="0" borderId="0" xfId="3" applyFont="1"/>
    <xf numFmtId="0" fontId="18" fillId="0" borderId="1" xfId="3" applyFont="1" applyBorder="1"/>
    <xf numFmtId="0" fontId="19" fillId="0" borderId="2" xfId="3" applyFont="1" applyBorder="1"/>
    <xf numFmtId="0" fontId="20" fillId="0" borderId="3" xfId="3" applyFont="1" applyBorder="1" applyAlignment="1">
      <alignment horizontal="center"/>
    </xf>
    <xf numFmtId="0" fontId="20" fillId="0" borderId="4" xfId="3" applyFont="1" applyBorder="1" applyAlignment="1">
      <alignment horizontal="center"/>
    </xf>
    <xf numFmtId="0" fontId="20" fillId="0" borderId="4" xfId="3" applyFont="1" applyBorder="1"/>
    <xf numFmtId="0" fontId="3" fillId="0" borderId="6" xfId="3" applyFont="1" applyBorder="1" applyAlignment="1">
      <alignment horizontal="center"/>
    </xf>
    <xf numFmtId="43" fontId="3" fillId="0" borderId="7" xfId="5" applyNumberFormat="1" applyFont="1" applyBorder="1" applyAlignment="1">
      <alignment horizontal="center"/>
    </xf>
    <xf numFmtId="165" fontId="3" fillId="0" borderId="7" xfId="5" applyNumberFormat="1" applyFont="1" applyBorder="1" applyAlignment="1"/>
    <xf numFmtId="43" fontId="3" fillId="0" borderId="7" xfId="5" applyNumberFormat="1" applyFont="1" applyBorder="1" applyAlignment="1"/>
    <xf numFmtId="43" fontId="3" fillId="0" borderId="7" xfId="5" applyNumberFormat="1" applyFont="1" applyBorder="1"/>
    <xf numFmtId="0" fontId="3" fillId="0" borderId="9" xfId="3" applyFont="1" applyBorder="1" applyAlignment="1">
      <alignment horizontal="center"/>
    </xf>
    <xf numFmtId="43" fontId="3" fillId="0" borderId="10" xfId="5" applyNumberFormat="1" applyFont="1" applyBorder="1" applyAlignment="1">
      <alignment horizontal="center"/>
    </xf>
    <xf numFmtId="165" fontId="3" fillId="0" borderId="10" xfId="5" applyNumberFormat="1" applyFont="1" applyBorder="1" applyAlignment="1"/>
    <xf numFmtId="0" fontId="3" fillId="0" borderId="10" xfId="3" applyFont="1" applyBorder="1" applyAlignment="1">
      <alignment horizontal="center"/>
    </xf>
    <xf numFmtId="165" fontId="22" fillId="0" borderId="10" xfId="3" applyNumberFormat="1" applyFont="1" applyBorder="1"/>
    <xf numFmtId="0" fontId="3" fillId="0" borderId="11" xfId="3" applyFont="1" applyBorder="1" applyAlignment="1">
      <alignment horizontal="center"/>
    </xf>
    <xf numFmtId="43" fontId="3" fillId="0" borderId="11" xfId="5" applyNumberFormat="1" applyFont="1" applyBorder="1" applyAlignment="1">
      <alignment horizontal="center"/>
    </xf>
    <xf numFmtId="0" fontId="3" fillId="0" borderId="8" xfId="3" applyFont="1" applyBorder="1" applyAlignment="1">
      <alignment horizontal="center"/>
    </xf>
    <xf numFmtId="43" fontId="3" fillId="0" borderId="8" xfId="5" applyNumberFormat="1" applyFont="1" applyBorder="1" applyAlignment="1">
      <alignment horizontal="center"/>
    </xf>
    <xf numFmtId="0" fontId="3" fillId="0" borderId="12" xfId="3" applyFont="1" applyBorder="1" applyAlignment="1">
      <alignment horizontal="center"/>
    </xf>
    <xf numFmtId="43" fontId="3" fillId="0" borderId="12" xfId="5" applyNumberFormat="1" applyFont="1" applyBorder="1" applyAlignment="1">
      <alignment horizontal="center"/>
    </xf>
    <xf numFmtId="43" fontId="3" fillId="0" borderId="13" xfId="5" applyNumberFormat="1" applyFont="1" applyBorder="1"/>
    <xf numFmtId="43" fontId="3" fillId="0" borderId="14" xfId="5" applyNumberFormat="1" applyFont="1" applyBorder="1" applyAlignment="1"/>
    <xf numFmtId="43" fontId="3" fillId="0" borderId="8" xfId="5" applyNumberFormat="1" applyFont="1" applyBorder="1"/>
    <xf numFmtId="43" fontId="23" fillId="0" borderId="15" xfId="5" applyNumberFormat="1" applyFont="1" applyBorder="1" applyAlignment="1"/>
    <xf numFmtId="43" fontId="23" fillId="0" borderId="8" xfId="5" applyNumberFormat="1" applyFont="1" applyBorder="1" applyAlignment="1"/>
    <xf numFmtId="0" fontId="24" fillId="0" borderId="8" xfId="3" applyFont="1" applyBorder="1"/>
    <xf numFmtId="0" fontId="3" fillId="0" borderId="8" xfId="3" applyFont="1" applyBorder="1"/>
    <xf numFmtId="43" fontId="25" fillId="0" borderId="8" xfId="5" applyNumberFormat="1" applyFont="1" applyBorder="1"/>
    <xf numFmtId="0" fontId="24" fillId="0" borderId="0" xfId="3" applyFont="1"/>
    <xf numFmtId="43" fontId="3" fillId="0" borderId="0" xfId="5" applyNumberFormat="1" applyFont="1" applyBorder="1"/>
    <xf numFmtId="43" fontId="3" fillId="0" borderId="0" xfId="5" applyNumberFormat="1" applyFont="1" applyBorder="1" applyAlignment="1"/>
    <xf numFmtId="43" fontId="3" fillId="0" borderId="0" xfId="5" applyNumberFormat="1" applyFont="1" applyBorder="1" applyAlignment="1">
      <alignment horizontal="center"/>
    </xf>
    <xf numFmtId="43" fontId="20" fillId="0" borderId="0" xfId="5" applyNumberFormat="1" applyFont="1" applyBorder="1"/>
    <xf numFmtId="0" fontId="12" fillId="0" borderId="0" xfId="3" applyFont="1" applyAlignment="1">
      <alignment horizontal="center"/>
    </xf>
    <xf numFmtId="0" fontId="1" fillId="0" borderId="0" xfId="3" applyFont="1" applyAlignment="1">
      <alignment horizontal="center"/>
    </xf>
    <xf numFmtId="0" fontId="26" fillId="0" borderId="0" xfId="3" applyFont="1" applyAlignment="1">
      <alignment horizontal="left"/>
    </xf>
    <xf numFmtId="0" fontId="3" fillId="0" borderId="0" xfId="3" applyFont="1" applyAlignment="1">
      <alignment horizontal="right"/>
    </xf>
    <xf numFmtId="16" fontId="12" fillId="0" borderId="0" xfId="3" applyNumberFormat="1" applyFont="1" applyAlignment="1">
      <alignment horizontal="left"/>
    </xf>
    <xf numFmtId="0" fontId="12" fillId="0" borderId="0" xfId="3" applyFont="1" applyAlignment="1">
      <alignment horizontal="left"/>
    </xf>
    <xf numFmtId="2" fontId="27" fillId="0" borderId="0" xfId="3" applyNumberFormat="1" applyFont="1" applyAlignment="1">
      <alignment horizontal="left"/>
    </xf>
    <xf numFmtId="0" fontId="20" fillId="0" borderId="0" xfId="3" applyFont="1"/>
    <xf numFmtId="0" fontId="29" fillId="0" borderId="0" xfId="3" applyFont="1"/>
    <xf numFmtId="43" fontId="30" fillId="0" borderId="17" xfId="5" applyNumberFormat="1" applyFont="1" applyBorder="1" applyAlignment="1">
      <alignment horizontal="center"/>
    </xf>
    <xf numFmtId="0" fontId="3" fillId="0" borderId="7" xfId="3" applyFont="1" applyBorder="1" applyAlignment="1">
      <alignment horizontal="center"/>
    </xf>
    <xf numFmtId="43" fontId="30" fillId="0" borderId="18" xfId="5" applyNumberFormat="1" applyFont="1" applyBorder="1" applyAlignment="1">
      <alignment horizontal="center"/>
    </xf>
    <xf numFmtId="43" fontId="3" fillId="0" borderId="10" xfId="5" applyNumberFormat="1" applyFont="1" applyBorder="1" applyAlignment="1"/>
    <xf numFmtId="43" fontId="3" fillId="0" borderId="10" xfId="5" applyNumberFormat="1" applyFont="1" applyBorder="1"/>
    <xf numFmtId="43" fontId="30" fillId="0" borderId="19" xfId="5" applyNumberFormat="1" applyFont="1" applyBorder="1" applyAlignment="1">
      <alignment horizontal="center"/>
    </xf>
    <xf numFmtId="43" fontId="30" fillId="0" borderId="8" xfId="5" applyNumberFormat="1" applyFont="1" applyBorder="1" applyAlignment="1">
      <alignment horizontal="center"/>
    </xf>
    <xf numFmtId="0" fontId="3" fillId="0" borderId="20" xfId="3" applyFont="1" applyBorder="1" applyAlignment="1">
      <alignment horizontal="center"/>
    </xf>
    <xf numFmtId="43" fontId="30" fillId="0" borderId="12" xfId="5" applyNumberFormat="1" applyFont="1" applyBorder="1" applyAlignment="1">
      <alignment horizontal="center"/>
    </xf>
    <xf numFmtId="43" fontId="3" fillId="0" borderId="20" xfId="5" applyNumberFormat="1" applyFont="1" applyBorder="1" applyAlignment="1">
      <alignment horizontal="center"/>
    </xf>
    <xf numFmtId="43" fontId="30" fillId="0" borderId="8" xfId="4" applyNumberFormat="1" applyFont="1" applyBorder="1" applyAlignment="1">
      <alignment horizontal="center"/>
    </xf>
    <xf numFmtId="43" fontId="3" fillId="0" borderId="8" xfId="4" applyNumberFormat="1" applyFont="1" applyBorder="1" applyAlignment="1">
      <alignment horizontal="center"/>
    </xf>
    <xf numFmtId="43" fontId="28" fillId="0" borderId="6" xfId="4" applyNumberFormat="1" applyFont="1" applyBorder="1" applyAlignment="1"/>
    <xf numFmtId="43" fontId="28" fillId="0" borderId="7" xfId="4" applyNumberFormat="1" applyFont="1" applyBorder="1" applyAlignment="1"/>
    <xf numFmtId="0" fontId="24" fillId="0" borderId="7" xfId="3" applyFont="1" applyBorder="1"/>
    <xf numFmtId="0" fontId="3" fillId="0" borderId="7" xfId="3" applyFont="1" applyBorder="1"/>
    <xf numFmtId="43" fontId="31" fillId="0" borderId="8" xfId="5" applyNumberFormat="1" applyFont="1" applyBorder="1"/>
    <xf numFmtId="0" fontId="20" fillId="0" borderId="1" xfId="3" applyFont="1" applyBorder="1"/>
    <xf numFmtId="0" fontId="2" fillId="0" borderId="0" xfId="0" applyFont="1" applyAlignment="1">
      <alignment horizontal="right"/>
    </xf>
    <xf numFmtId="0" fontId="0" fillId="0" borderId="0" xfId="0" applyAlignment="1">
      <alignment horizontal="center"/>
    </xf>
    <xf numFmtId="0" fontId="34" fillId="0" borderId="0" xfId="0" applyFont="1"/>
    <xf numFmtId="0" fontId="35" fillId="0" borderId="0" xfId="0" applyFont="1" applyAlignment="1">
      <alignment horizontal="center"/>
    </xf>
    <xf numFmtId="0" fontId="36" fillId="0" borderId="0" xfId="0" quotePrefix="1" applyFont="1" applyAlignment="1">
      <alignment horizontal="left"/>
    </xf>
    <xf numFmtId="0" fontId="37" fillId="0" borderId="0" xfId="0" applyFont="1"/>
    <xf numFmtId="0" fontId="37" fillId="0" borderId="0" xfId="0" applyFont="1" applyAlignment="1">
      <alignment horizontal="left"/>
    </xf>
    <xf numFmtId="0" fontId="38" fillId="0" borderId="0" xfId="0" applyFont="1"/>
    <xf numFmtId="0" fontId="41" fillId="0" borderId="0" xfId="0" applyFont="1"/>
    <xf numFmtId="0" fontId="44" fillId="0" borderId="0" xfId="0" quotePrefix="1" applyFont="1" applyAlignment="1">
      <alignment horizontal="left"/>
    </xf>
    <xf numFmtId="0" fontId="41" fillId="0" borderId="0" xfId="0" applyFont="1" applyAlignment="1">
      <alignment horizontal="left"/>
    </xf>
    <xf numFmtId="0" fontId="0" fillId="0" borderId="25" xfId="0" applyBorder="1"/>
    <xf numFmtId="0" fontId="37" fillId="0" borderId="28"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8" xfId="0" quotePrefix="1" applyFont="1" applyBorder="1" applyAlignment="1">
      <alignment horizontal="center" vertical="center" wrapText="1"/>
    </xf>
    <xf numFmtId="0" fontId="37" fillId="0" borderId="8" xfId="0" quotePrefix="1" applyFont="1" applyBorder="1" applyAlignment="1">
      <alignment horizontal="center" vertical="center" textRotation="90" wrapText="1"/>
    </xf>
    <xf numFmtId="0" fontId="36" fillId="0" borderId="8" xfId="0" quotePrefix="1" applyFont="1" applyBorder="1" applyAlignment="1">
      <alignment horizontal="center"/>
    </xf>
    <xf numFmtId="0" fontId="36" fillId="0" borderId="30" xfId="0" quotePrefix="1" applyFont="1" applyBorder="1" applyAlignment="1">
      <alignment horizontal="center"/>
    </xf>
    <xf numFmtId="43" fontId="33" fillId="0" borderId="8" xfId="6" applyFont="1" applyFill="1" applyBorder="1" applyAlignment="1">
      <alignment horizontal="center" vertical="center"/>
    </xf>
    <xf numFmtId="0" fontId="36" fillId="0" borderId="8" xfId="0" applyFont="1" applyBorder="1" applyAlignment="1">
      <alignment horizontal="center" vertical="center"/>
    </xf>
    <xf numFmtId="0" fontId="46" fillId="0" borderId="8" xfId="0" applyFont="1" applyBorder="1" applyAlignment="1">
      <alignment horizontal="center" vertical="center"/>
    </xf>
    <xf numFmtId="43" fontId="33" fillId="0" borderId="8" xfId="6" applyFont="1" applyFill="1" applyBorder="1" applyAlignment="1">
      <alignment horizontal="right"/>
    </xf>
    <xf numFmtId="0" fontId="36" fillId="0" borderId="8" xfId="0" applyFont="1" applyBorder="1"/>
    <xf numFmtId="0" fontId="47" fillId="0" borderId="8" xfId="0" applyFont="1" applyBorder="1"/>
    <xf numFmtId="0" fontId="46" fillId="0" borderId="8" xfId="0" applyFont="1" applyBorder="1" applyAlignment="1">
      <alignment horizontal="center"/>
    </xf>
    <xf numFmtId="43" fontId="48" fillId="0" borderId="8" xfId="6" applyFont="1" applyFill="1" applyBorder="1" applyAlignment="1">
      <alignment horizontal="right" vertical="center"/>
    </xf>
    <xf numFmtId="0" fontId="36" fillId="0" borderId="8" xfId="0" applyFont="1" applyBorder="1" applyAlignment="1">
      <alignment vertical="center"/>
    </xf>
    <xf numFmtId="0" fontId="47" fillId="0" borderId="8" xfId="0" applyFont="1" applyBorder="1" applyAlignment="1">
      <alignment vertical="center"/>
    </xf>
    <xf numFmtId="0" fontId="2" fillId="0" borderId="0" xfId="0" applyFont="1"/>
    <xf numFmtId="0" fontId="2" fillId="0" borderId="0" xfId="6" applyNumberFormat="1" applyFont="1"/>
    <xf numFmtId="0" fontId="49" fillId="0" borderId="0" xfId="0" applyFont="1"/>
    <xf numFmtId="0" fontId="50" fillId="0" borderId="0" xfId="0" applyFont="1"/>
    <xf numFmtId="0" fontId="45" fillId="0" borderId="0" xfId="0" applyFont="1" applyAlignment="1">
      <alignment horizontal="center"/>
    </xf>
    <xf numFmtId="14" fontId="50" fillId="0" borderId="0" xfId="0" quotePrefix="1" applyNumberFormat="1" applyFont="1"/>
    <xf numFmtId="0" fontId="45" fillId="0" borderId="8" xfId="0" applyFont="1" applyBorder="1" applyAlignment="1">
      <alignment horizontal="center"/>
    </xf>
    <xf numFmtId="0" fontId="50" fillId="0" borderId="0" xfId="0" applyFont="1" applyAlignment="1">
      <alignment horizontal="center"/>
    </xf>
    <xf numFmtId="0" fontId="45" fillId="0" borderId="0" xfId="0" quotePrefix="1" applyFont="1" applyAlignment="1">
      <alignment horizontal="center"/>
    </xf>
    <xf numFmtId="0" fontId="50" fillId="0" borderId="8" xfId="1" applyNumberFormat="1" applyFont="1" applyBorder="1" applyAlignment="1">
      <alignment horizontal="center" vertical="center"/>
    </xf>
    <xf numFmtId="164" fontId="50" fillId="0" borderId="8" xfId="1" applyFont="1" applyBorder="1" applyAlignment="1">
      <alignment vertical="center"/>
    </xf>
    <xf numFmtId="164" fontId="50" fillId="0" borderId="8" xfId="1" applyFont="1" applyBorder="1" applyAlignment="1">
      <alignment horizontal="center"/>
    </xf>
    <xf numFmtId="164" fontId="50" fillId="0" borderId="8" xfId="1" applyFont="1" applyBorder="1" applyAlignment="1">
      <alignment horizontal="center" vertical="center"/>
    </xf>
    <xf numFmtId="164" fontId="50" fillId="0" borderId="0" xfId="1" applyFont="1" applyBorder="1" applyAlignment="1">
      <alignment vertical="center"/>
    </xf>
    <xf numFmtId="164" fontId="50" fillId="0" borderId="8" xfId="1" applyFont="1" applyBorder="1" applyAlignment="1">
      <alignment horizontal="center" wrapText="1"/>
    </xf>
    <xf numFmtId="164" fontId="50" fillId="0" borderId="8" xfId="1" applyFont="1" applyBorder="1" applyAlignment="1">
      <alignment horizontal="center" vertical="center" wrapText="1"/>
    </xf>
    <xf numFmtId="0" fontId="45" fillId="0" borderId="8" xfId="1" applyNumberFormat="1" applyFont="1" applyBorder="1" applyAlignment="1">
      <alignment horizontal="center" vertical="center"/>
    </xf>
    <xf numFmtId="164" fontId="45" fillId="0" borderId="8" xfId="1" applyFont="1" applyBorder="1"/>
    <xf numFmtId="164" fontId="45" fillId="0" borderId="8" xfId="1" applyFont="1" applyBorder="1" applyAlignment="1">
      <alignment horizontal="center"/>
    </xf>
    <xf numFmtId="164" fontId="45" fillId="0" borderId="0" xfId="1" applyFont="1" applyBorder="1" applyAlignment="1">
      <alignment horizontal="center"/>
    </xf>
    <xf numFmtId="0" fontId="50" fillId="0" borderId="0" xfId="1" applyNumberFormat="1" applyFont="1" applyAlignment="1">
      <alignment horizontal="center"/>
    </xf>
    <xf numFmtId="164" fontId="50" fillId="0" borderId="0" xfId="1" applyFont="1"/>
    <xf numFmtId="164" fontId="50" fillId="0" borderId="0" xfId="1" applyFont="1" applyAlignment="1">
      <alignment horizontal="center"/>
    </xf>
    <xf numFmtId="164" fontId="50" fillId="0" borderId="0" xfId="1" applyFont="1" applyAlignment="1"/>
    <xf numFmtId="14" fontId="50" fillId="0" borderId="0" xfId="0" applyNumberFormat="1" applyFont="1"/>
    <xf numFmtId="14" fontId="0" fillId="0" borderId="0" xfId="0" applyNumberFormat="1" applyAlignment="1">
      <alignment horizontal="center"/>
    </xf>
    <xf numFmtId="164" fontId="36" fillId="0" borderId="8" xfId="1" applyFont="1" applyBorder="1" applyAlignment="1">
      <alignment horizontal="center" vertical="center"/>
    </xf>
    <xf numFmtId="164" fontId="21" fillId="0" borderId="5" xfId="1" applyFont="1" applyBorder="1" applyAlignment="1">
      <alignment horizontal="center"/>
    </xf>
    <xf numFmtId="0" fontId="52" fillId="0" borderId="0" xfId="0" applyFont="1"/>
    <xf numFmtId="0" fontId="53" fillId="0" borderId="8" xfId="2" applyFont="1" applyBorder="1" applyAlignment="1">
      <alignment horizontal="center"/>
    </xf>
    <xf numFmtId="166" fontId="53" fillId="0" borderId="8" xfId="2" applyNumberFormat="1" applyFont="1" applyBorder="1" applyAlignment="1">
      <alignment horizontal="right"/>
    </xf>
    <xf numFmtId="164" fontId="53" fillId="0" borderId="8" xfId="1" applyFont="1" applyBorder="1" applyAlignment="1">
      <alignment horizontal="center"/>
    </xf>
    <xf numFmtId="0" fontId="1" fillId="0" borderId="8" xfId="0" applyFont="1" applyBorder="1"/>
    <xf numFmtId="0" fontId="2" fillId="0" borderId="34" xfId="0" applyFont="1" applyBorder="1"/>
    <xf numFmtId="164" fontId="53" fillId="0" borderId="35" xfId="1" applyFont="1" applyBorder="1" applyAlignment="1">
      <alignment horizontal="center"/>
    </xf>
    <xf numFmtId="0" fontId="2" fillId="0" borderId="36" xfId="0" applyFont="1" applyBorder="1"/>
    <xf numFmtId="0" fontId="1" fillId="0" borderId="37" xfId="0" applyFont="1" applyBorder="1"/>
    <xf numFmtId="164" fontId="53" fillId="0" borderId="37" xfId="1" applyFont="1" applyBorder="1" applyAlignment="1">
      <alignment horizontal="center"/>
    </xf>
    <xf numFmtId="164" fontId="53" fillId="0" borderId="38" xfId="1" applyFont="1" applyBorder="1" applyAlignment="1">
      <alignment horizontal="center"/>
    </xf>
    <xf numFmtId="0" fontId="0" fillId="0" borderId="8" xfId="0" applyBorder="1"/>
    <xf numFmtId="0" fontId="0" fillId="0" borderId="35" xfId="0" applyBorder="1"/>
    <xf numFmtId="0" fontId="0" fillId="0" borderId="34" xfId="0" applyBorder="1" applyAlignment="1">
      <alignment horizontal="left" indent="1"/>
    </xf>
    <xf numFmtId="0" fontId="0" fillId="0" borderId="36" xfId="0" applyBorder="1" applyAlignment="1">
      <alignment horizontal="left" indent="1"/>
    </xf>
    <xf numFmtId="0" fontId="0" fillId="0" borderId="38" xfId="0" applyBorder="1"/>
    <xf numFmtId="0" fontId="2" fillId="0" borderId="39" xfId="0" applyFont="1" applyBorder="1"/>
    <xf numFmtId="0" fontId="53" fillId="0" borderId="5" xfId="2" applyFont="1" applyBorder="1" applyAlignment="1">
      <alignment horizontal="center"/>
    </xf>
    <xf numFmtId="166" fontId="53" fillId="0" borderId="5" xfId="2" applyNumberFormat="1" applyFont="1" applyBorder="1" applyAlignment="1">
      <alignment horizontal="right"/>
    </xf>
    <xf numFmtId="164" fontId="53" fillId="0" borderId="40" xfId="1" applyFont="1" applyBorder="1" applyAlignment="1">
      <alignment horizontal="center"/>
    </xf>
    <xf numFmtId="0" fontId="2" fillId="0" borderId="41" xfId="0" applyFont="1" applyBorder="1"/>
    <xf numFmtId="0" fontId="0" fillId="0" borderId="44" xfId="0" applyBorder="1"/>
    <xf numFmtId="0" fontId="0" fillId="0" borderId="42" xfId="0" applyBorder="1" applyAlignment="1">
      <alignment horizontal="center"/>
    </xf>
    <xf numFmtId="0" fontId="0" fillId="0" borderId="43" xfId="0" applyBorder="1" applyAlignment="1">
      <alignment horizontal="center"/>
    </xf>
    <xf numFmtId="0" fontId="54" fillId="0" borderId="0" xfId="0" applyFont="1" applyAlignment="1">
      <alignment horizontal="center"/>
    </xf>
    <xf numFmtId="0" fontId="55" fillId="0" borderId="0" xfId="0" applyFont="1"/>
    <xf numFmtId="164" fontId="56" fillId="0" borderId="0" xfId="0" applyNumberFormat="1" applyFont="1"/>
    <xf numFmtId="0" fontId="57" fillId="0" borderId="0" xfId="0" applyFont="1"/>
    <xf numFmtId="0" fontId="58" fillId="0" borderId="8" xfId="0" applyFont="1" applyBorder="1" applyAlignment="1">
      <alignment horizontal="center"/>
    </xf>
    <xf numFmtId="0" fontId="55" fillId="0" borderId="0" xfId="0" applyFont="1" applyAlignment="1">
      <alignment horizontal="center"/>
    </xf>
    <xf numFmtId="0" fontId="59" fillId="0" borderId="0" xfId="0" applyFont="1" applyAlignment="1">
      <alignment horizontal="center"/>
    </xf>
    <xf numFmtId="0" fontId="58" fillId="0" borderId="0" xfId="0" applyFont="1" applyAlignment="1">
      <alignment horizontal="center"/>
    </xf>
    <xf numFmtId="0" fontId="0" fillId="0" borderId="46" xfId="0" applyBorder="1"/>
    <xf numFmtId="0" fontId="0" fillId="0" borderId="45" xfId="0" applyBorder="1"/>
    <xf numFmtId="164" fontId="0" fillId="0" borderId="35" xfId="1" applyFont="1" applyBorder="1"/>
    <xf numFmtId="43" fontId="60" fillId="0" borderId="8" xfId="6" applyFont="1" applyFill="1" applyBorder="1" applyAlignment="1">
      <alignment horizontal="center" vertical="center"/>
    </xf>
    <xf numFmtId="0" fontId="60" fillId="0" borderId="8" xfId="0" applyFont="1" applyBorder="1" applyAlignment="1">
      <alignment horizontal="center" vertical="center"/>
    </xf>
    <xf numFmtId="164" fontId="60" fillId="0" borderId="8" xfId="1" applyFont="1" applyBorder="1" applyAlignment="1">
      <alignment horizontal="center" vertical="center"/>
    </xf>
    <xf numFmtId="0" fontId="61" fillId="0" borderId="8" xfId="0" applyFont="1" applyBorder="1" applyAlignment="1">
      <alignment horizontal="center" vertical="center"/>
    </xf>
    <xf numFmtId="0" fontId="62" fillId="0" borderId="8" xfId="1" applyNumberFormat="1" applyFont="1" applyBorder="1" applyAlignment="1">
      <alignment horizontal="center" vertical="center"/>
    </xf>
    <xf numFmtId="164" fontId="62" fillId="0" borderId="8" xfId="1" applyFont="1" applyBorder="1" applyAlignment="1">
      <alignment vertical="center"/>
    </xf>
    <xf numFmtId="164" fontId="62" fillId="0" borderId="8" xfId="1" applyFont="1" applyBorder="1" applyAlignment="1">
      <alignment horizontal="center"/>
    </xf>
    <xf numFmtId="164" fontId="62" fillId="0" borderId="8" xfId="1" applyFont="1" applyBorder="1" applyAlignment="1">
      <alignment horizontal="center" vertical="center"/>
    </xf>
    <xf numFmtId="0" fontId="52" fillId="0" borderId="0" xfId="0" quotePrefix="1" applyFont="1"/>
    <xf numFmtId="0" fontId="65" fillId="0" borderId="0" xfId="0" applyFont="1" applyAlignment="1">
      <alignment horizontal="center"/>
    </xf>
    <xf numFmtId="0" fontId="58" fillId="0" borderId="0" xfId="0" applyFont="1"/>
    <xf numFmtId="0" fontId="68" fillId="0" borderId="0" xfId="0" applyFont="1"/>
    <xf numFmtId="0" fontId="67" fillId="0" borderId="0" xfId="0" applyFont="1" applyAlignment="1">
      <alignment horizontal="center"/>
    </xf>
    <xf numFmtId="0" fontId="69" fillId="0" borderId="0" xfId="0" applyFont="1"/>
    <xf numFmtId="0" fontId="69" fillId="0" borderId="0" xfId="0" applyFont="1" applyAlignment="1">
      <alignment horizontal="right"/>
    </xf>
    <xf numFmtId="0" fontId="2" fillId="0" borderId="0" xfId="0" applyFont="1" applyAlignment="1">
      <alignment horizontal="center"/>
    </xf>
    <xf numFmtId="0" fontId="54" fillId="0" borderId="0" xfId="0" applyFont="1" applyAlignment="1">
      <alignment horizontal="center" vertical="center" wrapText="1"/>
    </xf>
    <xf numFmtId="0" fontId="70" fillId="0" borderId="0" xfId="0" applyFont="1" applyAlignment="1">
      <alignment horizontal="center"/>
    </xf>
    <xf numFmtId="0" fontId="71" fillId="0" borderId="0" xfId="0" applyFont="1" applyAlignment="1">
      <alignment horizontal="center"/>
    </xf>
    <xf numFmtId="0" fontId="72" fillId="0" borderId="0" xfId="0" applyFont="1"/>
    <xf numFmtId="0" fontId="71" fillId="0" borderId="0" xfId="0" applyFont="1"/>
    <xf numFmtId="0" fontId="72" fillId="0" borderId="0" xfId="0" quotePrefix="1" applyFont="1" applyAlignment="1">
      <alignment vertical="justify"/>
    </xf>
    <xf numFmtId="0" fontId="73" fillId="0" borderId="0" xfId="2" applyFont="1" applyAlignment="1">
      <alignment horizontal="center"/>
    </xf>
    <xf numFmtId="0" fontId="65"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71" fillId="0" borderId="0" xfId="0" applyFont="1" applyAlignment="1">
      <alignment horizontal="center" vertical="center"/>
    </xf>
    <xf numFmtId="0" fontId="64" fillId="0" borderId="0" xfId="0" applyFont="1" applyAlignment="1">
      <alignment horizontal="center" vertical="center"/>
    </xf>
    <xf numFmtId="0" fontId="52" fillId="0" borderId="0" xfId="0" applyFont="1" applyAlignment="1">
      <alignment vertical="center"/>
    </xf>
    <xf numFmtId="0" fontId="73" fillId="0" borderId="0" xfId="2" applyFont="1" applyAlignment="1">
      <alignment horizontal="center" vertical="center"/>
    </xf>
    <xf numFmtId="0" fontId="78" fillId="2" borderId="49" xfId="0" applyFont="1" applyFill="1" applyBorder="1" applyAlignment="1">
      <alignment horizontal="left"/>
    </xf>
    <xf numFmtId="0" fontId="2" fillId="0" borderId="32" xfId="0" applyFont="1" applyBorder="1" applyAlignment="1">
      <alignment horizontal="center"/>
    </xf>
    <xf numFmtId="0" fontId="2" fillId="0" borderId="33" xfId="0" applyFont="1" applyBorder="1" applyAlignment="1">
      <alignment horizontal="center"/>
    </xf>
    <xf numFmtId="0" fontId="10" fillId="0" borderId="0" xfId="3" applyFont="1" applyAlignment="1">
      <alignment horizontal="center"/>
    </xf>
    <xf numFmtId="0" fontId="73" fillId="0" borderId="0" xfId="2" applyFont="1" applyAlignment="1">
      <alignment horizontal="center"/>
    </xf>
    <xf numFmtId="0" fontId="74" fillId="0" borderId="0" xfId="2" applyFont="1" applyAlignment="1">
      <alignment horizontal="center"/>
    </xf>
    <xf numFmtId="0" fontId="75" fillId="0" borderId="0" xfId="2" applyFont="1" applyAlignment="1">
      <alignment horizontal="center"/>
    </xf>
    <xf numFmtId="0" fontId="76" fillId="0" borderId="0" xfId="2" applyFont="1" applyAlignment="1">
      <alignment horizontal="center"/>
    </xf>
    <xf numFmtId="0" fontId="1" fillId="0" borderId="0" xfId="3" applyFont="1" applyAlignment="1">
      <alignment horizontal="center"/>
    </xf>
    <xf numFmtId="0" fontId="3" fillId="0" borderId="0" xfId="3" applyFont="1" applyAlignment="1">
      <alignment horizontal="center"/>
    </xf>
    <xf numFmtId="0" fontId="3" fillId="0" borderId="0" xfId="2" applyAlignment="1">
      <alignment horizontal="center"/>
    </xf>
    <xf numFmtId="0" fontId="11" fillId="0" borderId="0" xfId="3" applyFont="1" applyAlignment="1">
      <alignment horizontal="left"/>
    </xf>
    <xf numFmtId="0" fontId="13" fillId="0" borderId="0" xfId="3" applyFont="1" applyAlignment="1">
      <alignment horizontal="left"/>
    </xf>
    <xf numFmtId="0" fontId="18" fillId="0" borderId="0" xfId="3" applyFont="1" applyAlignment="1">
      <alignment horizontal="left"/>
    </xf>
    <xf numFmtId="0" fontId="23" fillId="0" borderId="8" xfId="3" applyFont="1" applyBorder="1" applyAlignment="1">
      <alignment horizontal="center"/>
    </xf>
    <xf numFmtId="43" fontId="3" fillId="0" borderId="8" xfId="5" applyNumberFormat="1" applyFont="1" applyBorder="1" applyAlignment="1">
      <alignment horizontal="center"/>
    </xf>
    <xf numFmtId="43" fontId="3" fillId="0" borderId="15" xfId="5" applyNumberFormat="1" applyFont="1" applyBorder="1" applyAlignment="1">
      <alignment horizontal="center"/>
    </xf>
    <xf numFmtId="0" fontId="25" fillId="0" borderId="8" xfId="3" applyFont="1" applyBorder="1" applyAlignment="1">
      <alignment horizontal="center"/>
    </xf>
    <xf numFmtId="0" fontId="25" fillId="0" borderId="15" xfId="3" applyFont="1" applyBorder="1" applyAlignment="1">
      <alignment horizontal="center"/>
    </xf>
    <xf numFmtId="0" fontId="12" fillId="0" borderId="0" xfId="3" applyFont="1" applyAlignment="1">
      <alignment horizontal="center"/>
    </xf>
    <xf numFmtId="0" fontId="20" fillId="0" borderId="0" xfId="3" applyFont="1" applyAlignment="1">
      <alignment horizontal="center"/>
    </xf>
    <xf numFmtId="0" fontId="20" fillId="0" borderId="0" xfId="3" applyFont="1" applyAlignment="1">
      <alignment horizontal="left"/>
    </xf>
    <xf numFmtId="0" fontId="4" fillId="0" borderId="0" xfId="2" applyFont="1" applyAlignment="1">
      <alignment horizontal="center"/>
    </xf>
    <xf numFmtId="0" fontId="5" fillId="0" borderId="0" xfId="2" applyFont="1" applyAlignment="1">
      <alignment horizontal="center"/>
    </xf>
    <xf numFmtId="0" fontId="6" fillId="0" borderId="0" xfId="2" applyFont="1" applyAlignment="1">
      <alignment horizontal="center"/>
    </xf>
    <xf numFmtId="0" fontId="7" fillId="0" borderId="0" xfId="2" applyFont="1" applyAlignment="1">
      <alignment horizontal="center"/>
    </xf>
    <xf numFmtId="0" fontId="8" fillId="0" borderId="0" xfId="2" applyFont="1" applyAlignment="1">
      <alignment horizontal="center"/>
    </xf>
    <xf numFmtId="0" fontId="3" fillId="0" borderId="0" xfId="3" applyFont="1" applyAlignment="1">
      <alignment horizontal="left"/>
    </xf>
    <xf numFmtId="0" fontId="28" fillId="0" borderId="16" xfId="3" applyFont="1" applyBorder="1" applyAlignment="1">
      <alignment horizontal="left"/>
    </xf>
    <xf numFmtId="0" fontId="20" fillId="0" borderId="16" xfId="3" applyFont="1" applyBorder="1" applyAlignment="1">
      <alignment horizontal="left"/>
    </xf>
    <xf numFmtId="0" fontId="28" fillId="0" borderId="8" xfId="3" applyFont="1" applyBorder="1" applyAlignment="1">
      <alignment horizontal="center"/>
    </xf>
    <xf numFmtId="43" fontId="3" fillId="0" borderId="7" xfId="5" applyNumberFormat="1" applyFont="1" applyBorder="1" applyAlignment="1">
      <alignment horizontal="center"/>
    </xf>
    <xf numFmtId="43" fontId="3" fillId="0" borderId="14" xfId="5" applyNumberFormat="1" applyFont="1" applyBorder="1" applyAlignment="1">
      <alignment horizontal="center"/>
    </xf>
    <xf numFmtId="0" fontId="31" fillId="0" borderId="10" xfId="3" applyFont="1" applyBorder="1" applyAlignment="1">
      <alignment horizontal="center"/>
    </xf>
    <xf numFmtId="0" fontId="31" fillId="0" borderId="21" xfId="3" applyFont="1" applyBorder="1" applyAlignment="1">
      <alignment horizontal="center"/>
    </xf>
    <xf numFmtId="0" fontId="3" fillId="0" borderId="22" xfId="3" applyFont="1" applyBorder="1" applyAlignment="1">
      <alignment horizontal="center"/>
    </xf>
    <xf numFmtId="0" fontId="37" fillId="0" borderId="23" xfId="0" applyFont="1" applyBorder="1" applyAlignment="1">
      <alignment horizontal="center" vertical="center" wrapText="1"/>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37" fillId="0" borderId="24" xfId="0" applyFont="1" applyBorder="1" applyAlignment="1">
      <alignment horizontal="center" vertical="center" wrapText="1"/>
    </xf>
    <xf numFmtId="0" fontId="45" fillId="0" borderId="8" xfId="0" applyFont="1" applyBorder="1" applyAlignment="1">
      <alignment horizontal="center" vertical="center" wrapText="1"/>
    </xf>
    <xf numFmtId="0" fontId="36" fillId="0" borderId="15" xfId="0" quotePrefix="1" applyFont="1" applyBorder="1" applyAlignment="1">
      <alignment horizontal="center"/>
    </xf>
    <xf numFmtId="0" fontId="36" fillId="0" borderId="29" xfId="0" quotePrefix="1" applyFont="1" applyBorder="1" applyAlignment="1">
      <alignment horizontal="center"/>
    </xf>
    <xf numFmtId="0" fontId="0" fillId="0" borderId="8" xfId="0" quotePrefix="1" applyBorder="1" applyAlignment="1">
      <alignment horizontal="center"/>
    </xf>
    <xf numFmtId="0" fontId="0" fillId="0" borderId="8" xfId="0" applyBorder="1" applyAlignment="1">
      <alignment horizontal="center"/>
    </xf>
    <xf numFmtId="0" fontId="0" fillId="0" borderId="27" xfId="0" applyBorder="1" applyAlignment="1">
      <alignment horizontal="center" wrapText="1"/>
    </xf>
    <xf numFmtId="0" fontId="0" fillId="0" borderId="28" xfId="0" applyBorder="1" applyAlignment="1">
      <alignment horizontal="center" wrapText="1"/>
    </xf>
    <xf numFmtId="0" fontId="37" fillId="0" borderId="22" xfId="0" applyFont="1" applyBorder="1" applyAlignment="1">
      <alignment horizontal="center" vertical="center" wrapText="1"/>
    </xf>
    <xf numFmtId="0" fontId="0" fillId="0" borderId="27" xfId="0" applyBorder="1" applyAlignment="1">
      <alignment horizontal="center" vertical="center" wrapText="1"/>
    </xf>
    <xf numFmtId="0" fontId="0" fillId="0" borderId="1" xfId="0" applyBorder="1" applyAlignment="1">
      <alignment horizontal="center" vertical="center" wrapText="1"/>
    </xf>
    <xf numFmtId="0" fontId="0" fillId="0" borderId="28" xfId="0" applyBorder="1" applyAlignment="1">
      <alignment horizontal="center" vertical="center" wrapText="1"/>
    </xf>
    <xf numFmtId="0" fontId="37" fillId="0" borderId="27"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8" xfId="0" applyFont="1" applyBorder="1" applyAlignment="1">
      <alignment horizontal="center" vertical="center" wrapText="1"/>
    </xf>
    <xf numFmtId="0" fontId="33" fillId="0" borderId="15" xfId="0" applyFont="1" applyBorder="1" applyAlignment="1">
      <alignment horizontal="center" vertical="center"/>
    </xf>
    <xf numFmtId="0" fontId="33" fillId="0" borderId="29" xfId="0" applyFont="1" applyBorder="1" applyAlignment="1">
      <alignment horizontal="center" vertical="center"/>
    </xf>
    <xf numFmtId="0" fontId="36" fillId="0" borderId="8" xfId="0" applyFont="1" applyBorder="1" applyAlignment="1">
      <alignment horizontal="center" vertical="center"/>
    </xf>
    <xf numFmtId="0" fontId="33" fillId="0" borderId="15" xfId="0" applyFont="1" applyBorder="1" applyAlignment="1">
      <alignment horizontal="center"/>
    </xf>
    <xf numFmtId="0" fontId="33" fillId="0" borderId="29" xfId="0" applyFont="1" applyBorder="1" applyAlignment="1">
      <alignment horizontal="center"/>
    </xf>
    <xf numFmtId="0" fontId="36" fillId="0" borderId="15" xfId="0" applyFont="1" applyBorder="1" applyAlignment="1">
      <alignment horizontal="center"/>
    </xf>
    <xf numFmtId="0" fontId="36" fillId="0" borderId="31" xfId="0" applyFont="1" applyBorder="1" applyAlignment="1">
      <alignment horizontal="center"/>
    </xf>
    <xf numFmtId="0" fontId="36" fillId="0" borderId="29" xfId="0" applyFont="1" applyBorder="1" applyAlignment="1">
      <alignment horizontal="center"/>
    </xf>
    <xf numFmtId="0" fontId="0" fillId="0" borderId="0" xfId="0" applyAlignment="1">
      <alignment horizontal="center"/>
    </xf>
    <xf numFmtId="0" fontId="32" fillId="0" borderId="0" xfId="0" applyFont="1" applyAlignment="1">
      <alignment horizontal="center"/>
    </xf>
    <xf numFmtId="0" fontId="30" fillId="0" borderId="0" xfId="0" applyFont="1" applyAlignment="1">
      <alignment horizontal="center"/>
    </xf>
    <xf numFmtId="0" fontId="60" fillId="0" borderId="15" xfId="0" applyFont="1" applyBorder="1" applyAlignment="1">
      <alignment horizontal="center" vertical="center"/>
    </xf>
    <xf numFmtId="0" fontId="60" fillId="0" borderId="29" xfId="0" applyFont="1" applyBorder="1" applyAlignment="1">
      <alignment horizontal="center" vertical="center"/>
    </xf>
    <xf numFmtId="0" fontId="48" fillId="0" borderId="15" xfId="0" applyFont="1" applyBorder="1" applyAlignment="1">
      <alignment horizontal="center" vertical="center"/>
    </xf>
    <xf numFmtId="0" fontId="48" fillId="0" borderId="29" xfId="0" applyFont="1" applyBorder="1" applyAlignment="1">
      <alignment horizontal="center" vertical="center"/>
    </xf>
    <xf numFmtId="0" fontId="2" fillId="0" borderId="0" xfId="6" applyNumberFormat="1" applyFont="1" applyAlignment="1">
      <alignment horizontal="center"/>
    </xf>
    <xf numFmtId="0" fontId="2" fillId="0" borderId="0" xfId="0" applyFont="1" applyAlignment="1">
      <alignment horizontal="center"/>
    </xf>
    <xf numFmtId="0" fontId="1" fillId="0" borderId="0" xfId="6" applyNumberFormat="1" applyFont="1" applyAlignment="1">
      <alignment horizontal="center"/>
    </xf>
    <xf numFmtId="0" fontId="45" fillId="0" borderId="8" xfId="0" applyFont="1" applyBorder="1" applyAlignment="1">
      <alignment horizontal="center"/>
    </xf>
    <xf numFmtId="0" fontId="51" fillId="0" borderId="0" xfId="0" applyFont="1" applyAlignment="1">
      <alignment horizontal="center"/>
    </xf>
    <xf numFmtId="0" fontId="50" fillId="0" borderId="0" xfId="0" applyFont="1" applyAlignment="1">
      <alignment horizontal="center"/>
    </xf>
    <xf numFmtId="164" fontId="50" fillId="0" borderId="0" xfId="1" applyFont="1" applyAlignment="1">
      <alignment horizontal="center"/>
    </xf>
    <xf numFmtId="164" fontId="45" fillId="0" borderId="0" xfId="1" applyFont="1" applyAlignment="1">
      <alignment horizontal="center"/>
    </xf>
    <xf numFmtId="0" fontId="45" fillId="0" borderId="8" xfId="0" applyFont="1" applyBorder="1" applyAlignment="1">
      <alignment horizontal="center" vertical="center"/>
    </xf>
    <xf numFmtId="0" fontId="73" fillId="0" borderId="0" xfId="2" applyFont="1" applyAlignment="1">
      <alignment horizontal="center" vertical="center"/>
    </xf>
    <xf numFmtId="0" fontId="75" fillId="0" borderId="0" xfId="2" applyFont="1" applyAlignment="1">
      <alignment horizontal="center" vertical="center"/>
    </xf>
    <xf numFmtId="0" fontId="74" fillId="0" borderId="0" xfId="2" applyFont="1" applyAlignment="1">
      <alignment horizontal="center" vertical="center"/>
    </xf>
    <xf numFmtId="164" fontId="63" fillId="0" borderId="8" xfId="1" applyFont="1" applyBorder="1" applyAlignment="1">
      <alignment horizontal="center" vertical="center"/>
    </xf>
    <xf numFmtId="164" fontId="55" fillId="0" borderId="8" xfId="1" applyFont="1" applyBorder="1" applyAlignment="1">
      <alignment horizontal="center" vertical="center"/>
    </xf>
    <xf numFmtId="0" fontId="58" fillId="0" borderId="8" xfId="0" applyFont="1" applyBorder="1" applyAlignment="1">
      <alignment horizontal="center"/>
    </xf>
    <xf numFmtId="164" fontId="63" fillId="0" borderId="15" xfId="1" applyFont="1" applyBorder="1" applyAlignment="1">
      <alignment horizontal="center"/>
    </xf>
    <xf numFmtId="164" fontId="63" fillId="0" borderId="31" xfId="1" applyFont="1" applyBorder="1" applyAlignment="1">
      <alignment horizontal="center"/>
    </xf>
    <xf numFmtId="164" fontId="63" fillId="0" borderId="29" xfId="1" applyFont="1" applyBorder="1" applyAlignment="1">
      <alignment horizontal="center"/>
    </xf>
    <xf numFmtId="164" fontId="55" fillId="0" borderId="15" xfId="1" applyFont="1" applyBorder="1" applyAlignment="1">
      <alignment horizontal="center"/>
    </xf>
    <xf numFmtId="164" fontId="55" fillId="0" borderId="31" xfId="1" applyFont="1" applyBorder="1" applyAlignment="1">
      <alignment horizontal="center"/>
    </xf>
    <xf numFmtId="164" fontId="55" fillId="0" borderId="29" xfId="1" applyFont="1" applyBorder="1" applyAlignment="1">
      <alignment horizontal="center"/>
    </xf>
    <xf numFmtId="0" fontId="58" fillId="0" borderId="23" xfId="0" applyFont="1" applyBorder="1" applyAlignment="1">
      <alignment horizontal="center" vertical="center" wrapText="1"/>
    </xf>
    <xf numFmtId="0" fontId="58" fillId="0" borderId="22" xfId="0" applyFont="1" applyBorder="1" applyAlignment="1">
      <alignment horizontal="center" vertical="center"/>
    </xf>
    <xf numFmtId="0" fontId="58" fillId="0" borderId="24" xfId="0" applyFont="1" applyBorder="1" applyAlignment="1">
      <alignment horizontal="center" vertical="center"/>
    </xf>
    <xf numFmtId="0" fontId="58" fillId="0" borderId="27" xfId="0" applyFont="1" applyBorder="1" applyAlignment="1">
      <alignment horizontal="center" vertical="center"/>
    </xf>
    <xf numFmtId="0" fontId="58" fillId="0" borderId="1" xfId="0" applyFont="1" applyBorder="1" applyAlignment="1">
      <alignment horizontal="center" vertical="center"/>
    </xf>
    <xf numFmtId="0" fontId="58" fillId="0" borderId="28" xfId="0" applyFont="1" applyBorder="1" applyAlignment="1">
      <alignment horizontal="center" vertical="center"/>
    </xf>
    <xf numFmtId="0" fontId="58" fillId="0" borderId="8" xfId="0" applyFont="1" applyBorder="1" applyAlignment="1">
      <alignment horizontal="center" vertical="center"/>
    </xf>
    <xf numFmtId="0" fontId="58" fillId="0" borderId="8" xfId="1" applyNumberFormat="1" applyFont="1" applyBorder="1" applyAlignment="1">
      <alignment horizontal="center" vertical="center"/>
    </xf>
    <xf numFmtId="0" fontId="54" fillId="0" borderId="41" xfId="0" applyFont="1" applyBorder="1" applyAlignment="1">
      <alignment horizontal="center" wrapText="1"/>
    </xf>
    <xf numFmtId="0" fontId="54" fillId="0" borderId="47" xfId="0" applyFont="1" applyBorder="1" applyAlignment="1">
      <alignment horizontal="center" wrapText="1"/>
    </xf>
    <xf numFmtId="0" fontId="54" fillId="0" borderId="48" xfId="0" applyFont="1" applyBorder="1" applyAlignment="1">
      <alignment horizontal="center" wrapText="1"/>
    </xf>
    <xf numFmtId="0" fontId="55" fillId="0" borderId="8" xfId="1" applyNumberFormat="1" applyFont="1" applyBorder="1" applyAlignment="1">
      <alignment horizontal="center" vertical="center"/>
    </xf>
    <xf numFmtId="0" fontId="63" fillId="0" borderId="8" xfId="1" applyNumberFormat="1" applyFont="1" applyBorder="1" applyAlignment="1">
      <alignment horizontal="center" vertical="center"/>
    </xf>
    <xf numFmtId="0" fontId="54" fillId="0" borderId="41"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48" xfId="0" applyFont="1" applyBorder="1" applyAlignment="1">
      <alignment horizontal="center" vertical="center" wrapText="1"/>
    </xf>
    <xf numFmtId="0" fontId="54" fillId="0" borderId="0" xfId="0" applyFont="1" applyAlignment="1">
      <alignment horizontal="center"/>
    </xf>
    <xf numFmtId="0" fontId="66" fillId="0" borderId="0" xfId="0" applyFont="1" applyAlignment="1">
      <alignment horizontal="center"/>
    </xf>
    <xf numFmtId="0" fontId="64" fillId="0" borderId="0" xfId="0" applyFont="1" applyAlignment="1">
      <alignment horizontal="center"/>
    </xf>
    <xf numFmtId="0" fontId="52" fillId="0" borderId="0" xfId="0" quotePrefix="1" applyFont="1" applyAlignment="1">
      <alignment horizontal="justify"/>
    </xf>
    <xf numFmtId="0" fontId="52" fillId="0" borderId="0" xfId="0" applyFont="1" applyAlignment="1">
      <alignment horizontal="justify"/>
    </xf>
    <xf numFmtId="0" fontId="69" fillId="0" borderId="0" xfId="0" quotePrefix="1" applyFont="1" applyAlignment="1">
      <alignment horizontal="justify"/>
    </xf>
    <xf numFmtId="0" fontId="67" fillId="0" borderId="0" xfId="0" applyFont="1" applyAlignment="1">
      <alignment horizontal="center"/>
    </xf>
    <xf numFmtId="0" fontId="69" fillId="0" borderId="0" xfId="0" applyFont="1" applyAlignment="1">
      <alignment horizontal="left"/>
    </xf>
    <xf numFmtId="0" fontId="67" fillId="0" borderId="8" xfId="0" applyFont="1" applyBorder="1" applyAlignment="1">
      <alignment horizontal="center" vertical="top"/>
    </xf>
    <xf numFmtId="0" fontId="69" fillId="0" borderId="8" xfId="0" applyFont="1" applyBorder="1" applyAlignment="1">
      <alignment horizontal="center"/>
    </xf>
    <xf numFmtId="0" fontId="68" fillId="0" borderId="8" xfId="0" applyFont="1" applyBorder="1" applyAlignment="1">
      <alignment horizontal="center"/>
    </xf>
    <xf numFmtId="0" fontId="69" fillId="0" borderId="1" xfId="0" applyFont="1" applyBorder="1" applyAlignment="1">
      <alignment horizontal="left" vertical="center" wrapText="1"/>
    </xf>
    <xf numFmtId="0" fontId="69" fillId="0" borderId="0" xfId="0" applyFont="1" applyAlignment="1">
      <alignment horizontal="justify"/>
    </xf>
    <xf numFmtId="0" fontId="64" fillId="0" borderId="0" xfId="0" applyFont="1" applyAlignment="1">
      <alignment horizontal="center" vertical="center"/>
    </xf>
    <xf numFmtId="0" fontId="54" fillId="0" borderId="0" xfId="0" applyFont="1" applyAlignment="1">
      <alignment horizontal="center" vertical="center"/>
    </xf>
    <xf numFmtId="0" fontId="71" fillId="0" borderId="41" xfId="0" applyFont="1" applyBorder="1" applyAlignment="1">
      <alignment horizontal="center" vertical="center" wrapText="1"/>
    </xf>
    <xf numFmtId="0" fontId="71" fillId="0" borderId="47" xfId="0" applyFont="1" applyBorder="1" applyAlignment="1">
      <alignment horizontal="center" vertical="center" wrapText="1"/>
    </xf>
    <xf numFmtId="0" fontId="71" fillId="0" borderId="48" xfId="0" applyFont="1" applyBorder="1" applyAlignment="1">
      <alignment horizontal="center" vertical="center" wrapText="1"/>
    </xf>
    <xf numFmtId="0" fontId="72" fillId="0" borderId="0" xfId="0" quotePrefix="1" applyFont="1" applyAlignment="1">
      <alignment horizontal="justify" vertical="justify"/>
    </xf>
    <xf numFmtId="0" fontId="79" fillId="3" borderId="50" xfId="0" applyFont="1" applyFill="1" applyBorder="1" applyAlignment="1">
      <alignment horizontal="left"/>
    </xf>
  </cellXfs>
  <cellStyles count="7">
    <cellStyle name="Comma" xfId="1" builtinId="3"/>
    <cellStyle name="Comma 10 2" xfId="4" xr:uid="{6F111DC7-B560-401F-ABE4-D7BC670012A2}"/>
    <cellStyle name="Comma 2" xfId="6" xr:uid="{35F25F38-43DC-41D9-8B92-FBCF0CCF205C}"/>
    <cellStyle name="Comma 2 2" xfId="5" xr:uid="{1E6EBAFB-740D-4185-AA78-BC0F8B44545E}"/>
    <cellStyle name="Normal" xfId="0" builtinId="0"/>
    <cellStyle name="Normal 2" xfId="2" xr:uid="{5769F8BF-CFA7-4D92-BDE5-835A21BAFDEF}"/>
    <cellStyle name="Normal_OLD SOA" xfId="3" xr:uid="{EED26023-B8E3-4742-A02D-75F773CA0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0</xdr:col>
      <xdr:colOff>9525</xdr:colOff>
      <xdr:row>7</xdr:row>
      <xdr:rowOff>76200</xdr:rowOff>
    </xdr:from>
    <xdr:to>
      <xdr:col>7</xdr:col>
      <xdr:colOff>38100</xdr:colOff>
      <xdr:row>7</xdr:row>
      <xdr:rowOff>76200</xdr:rowOff>
    </xdr:to>
    <xdr:cxnSp macro="">
      <xdr:nvCxnSpPr>
        <xdr:cNvPr id="2" name="AutoShape 2">
          <a:extLst>
            <a:ext uri="{FF2B5EF4-FFF2-40B4-BE49-F238E27FC236}">
              <a16:creationId xmlns:a16="http://schemas.microsoft.com/office/drawing/2014/main" id="{DE0E856B-F3EA-42CC-A863-FA8ECD4D5BBA}"/>
            </a:ext>
          </a:extLst>
        </xdr:cNvPr>
        <xdr:cNvCxnSpPr>
          <a:cxnSpLocks noChangeShapeType="1"/>
        </xdr:cNvCxnSpPr>
      </xdr:nvCxnSpPr>
      <xdr:spPr bwMode="auto">
        <a:xfrm>
          <a:off x="9525" y="17145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116</xdr:row>
      <xdr:rowOff>76200</xdr:rowOff>
    </xdr:from>
    <xdr:to>
      <xdr:col>2</xdr:col>
      <xdr:colOff>419100</xdr:colOff>
      <xdr:row>121</xdr:row>
      <xdr:rowOff>9525</xdr:rowOff>
    </xdr:to>
    <xdr:pic>
      <xdr:nvPicPr>
        <xdr:cNvPr id="3" name="Picture 0" descr="New NIA Logo 2016.jpg">
          <a:extLst>
            <a:ext uri="{FF2B5EF4-FFF2-40B4-BE49-F238E27FC236}">
              <a16:creationId xmlns:a16="http://schemas.microsoft.com/office/drawing/2014/main" id="{BBA8B8AE-E266-4E82-9692-6EFD7C3F5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0659725"/>
          <a:ext cx="1152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125</xdr:row>
      <xdr:rowOff>66675</xdr:rowOff>
    </xdr:from>
    <xdr:to>
      <xdr:col>7</xdr:col>
      <xdr:colOff>47625</xdr:colOff>
      <xdr:row>125</xdr:row>
      <xdr:rowOff>66675</xdr:rowOff>
    </xdr:to>
    <xdr:cxnSp macro="">
      <xdr:nvCxnSpPr>
        <xdr:cNvPr id="4" name="AutoShape 2">
          <a:extLst>
            <a:ext uri="{FF2B5EF4-FFF2-40B4-BE49-F238E27FC236}">
              <a16:creationId xmlns:a16="http://schemas.microsoft.com/office/drawing/2014/main" id="{877309C4-4106-4AB7-8BCF-F6D613460D1F}"/>
            </a:ext>
          </a:extLst>
        </xdr:cNvPr>
        <xdr:cNvCxnSpPr>
          <a:cxnSpLocks noChangeShapeType="1"/>
        </xdr:cNvCxnSpPr>
      </xdr:nvCxnSpPr>
      <xdr:spPr bwMode="auto">
        <a:xfrm>
          <a:off x="19050" y="222980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773206</xdr:colOff>
      <xdr:row>0</xdr:row>
      <xdr:rowOff>168088</xdr:rowOff>
    </xdr:from>
    <xdr:to>
      <xdr:col>1</xdr:col>
      <xdr:colOff>717998</xdr:colOff>
      <xdr:row>4</xdr:row>
      <xdr:rowOff>112880</xdr:rowOff>
    </xdr:to>
    <xdr:pic>
      <xdr:nvPicPr>
        <xdr:cNvPr id="8" name="Picture 7">
          <a:extLst>
            <a:ext uri="{FF2B5EF4-FFF2-40B4-BE49-F238E27FC236}">
              <a16:creationId xmlns:a16="http://schemas.microsoft.com/office/drawing/2014/main" id="{C21B7FAB-CEBD-48FA-A02D-C4F31414653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3206" y="168088"/>
          <a:ext cx="740410" cy="740410"/>
        </a:xfrm>
        <a:prstGeom prst="rect">
          <a:avLst/>
        </a:prstGeom>
      </xdr:spPr>
    </xdr:pic>
    <xdr:clientData/>
  </xdr:twoCellAnchor>
  <xdr:twoCellAnchor editAs="oneCell">
    <xdr:from>
      <xdr:col>0</xdr:col>
      <xdr:colOff>33618</xdr:colOff>
      <xdr:row>110</xdr:row>
      <xdr:rowOff>22412</xdr:rowOff>
    </xdr:from>
    <xdr:to>
      <xdr:col>6</xdr:col>
      <xdr:colOff>1916206</xdr:colOff>
      <xdr:row>115</xdr:row>
      <xdr:rowOff>163830</xdr:rowOff>
    </xdr:to>
    <xdr:pic>
      <xdr:nvPicPr>
        <xdr:cNvPr id="9" name="Picture 8">
          <a:extLst>
            <a:ext uri="{FF2B5EF4-FFF2-40B4-BE49-F238E27FC236}">
              <a16:creationId xmlns:a16="http://schemas.microsoft.com/office/drawing/2014/main" id="{217B85EB-1CA6-45CC-91C6-A0B69D17D54F}"/>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618" y="21336000"/>
          <a:ext cx="7687235" cy="1093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2C9DE3CF-AD0A-424E-AE67-E3A692DC8836}"/>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F147A47A-0480-44C7-816A-1D4204FFD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6ADE7BC2-10B1-421A-920A-7ECC765D7610}"/>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333E9D53-69C2-4753-A589-417D7926A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8F9CCA29-3A5C-499D-AADE-EEEE423252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BF90C3EC-2B7F-4EFF-8E05-F0098E5A8BE5}"/>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7A78F84F-F551-48E5-948D-D470E9793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95064D44-DBC9-4A05-9A24-E67D71D75FE4}"/>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453352A6-9248-4AEB-8E15-A1C0553CFC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BB096DBC-09A9-4A50-B144-E9F9064E8F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63111C33-3212-44F3-9B21-8F3667DB7153}"/>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6F5C1874-3B97-4492-9635-F7500A019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3C6BBF00-1144-4004-A5E1-A3504D082032}"/>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91E3BC1D-F546-4634-A47E-44F1BB1499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D198FD43-2EA4-40C9-86E8-6C10225696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9</xdr:row>
      <xdr:rowOff>76200</xdr:rowOff>
    </xdr:from>
    <xdr:to>
      <xdr:col>7</xdr:col>
      <xdr:colOff>38100</xdr:colOff>
      <xdr:row>9</xdr:row>
      <xdr:rowOff>76200</xdr:rowOff>
    </xdr:to>
    <xdr:cxnSp macro="">
      <xdr:nvCxnSpPr>
        <xdr:cNvPr id="2" name="AutoShape 2">
          <a:extLst>
            <a:ext uri="{FF2B5EF4-FFF2-40B4-BE49-F238E27FC236}">
              <a16:creationId xmlns:a16="http://schemas.microsoft.com/office/drawing/2014/main" id="{82EBE21D-3467-4D56-A4AF-C9FC4EFB0EBF}"/>
            </a:ext>
          </a:extLst>
        </xdr:cNvPr>
        <xdr:cNvCxnSpPr>
          <a:cxnSpLocks noChangeShapeType="1"/>
        </xdr:cNvCxnSpPr>
      </xdr:nvCxnSpPr>
      <xdr:spPr bwMode="auto">
        <a:xfrm>
          <a:off x="9525" y="1905000"/>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38100</xdr:colOff>
      <xdr:row>118</xdr:row>
      <xdr:rowOff>76200</xdr:rowOff>
    </xdr:from>
    <xdr:to>
      <xdr:col>2</xdr:col>
      <xdr:colOff>419100</xdr:colOff>
      <xdr:row>123</xdr:row>
      <xdr:rowOff>9525</xdr:rowOff>
    </xdr:to>
    <xdr:pic>
      <xdr:nvPicPr>
        <xdr:cNvPr id="3" name="Picture 0" descr="New NIA Logo 2016.jpg">
          <a:extLst>
            <a:ext uri="{FF2B5EF4-FFF2-40B4-BE49-F238E27FC236}">
              <a16:creationId xmlns:a16="http://schemas.microsoft.com/office/drawing/2014/main" id="{623986FD-D066-4182-A6BA-60116E8AE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22993350"/>
          <a:ext cx="1152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127</xdr:row>
      <xdr:rowOff>66675</xdr:rowOff>
    </xdr:from>
    <xdr:to>
      <xdr:col>7</xdr:col>
      <xdr:colOff>47625</xdr:colOff>
      <xdr:row>127</xdr:row>
      <xdr:rowOff>66675</xdr:rowOff>
    </xdr:to>
    <xdr:cxnSp macro="">
      <xdr:nvCxnSpPr>
        <xdr:cNvPr id="4" name="AutoShape 2">
          <a:extLst>
            <a:ext uri="{FF2B5EF4-FFF2-40B4-BE49-F238E27FC236}">
              <a16:creationId xmlns:a16="http://schemas.microsoft.com/office/drawing/2014/main" id="{05166FF1-3104-4768-BB96-571522801F9A}"/>
            </a:ext>
          </a:extLst>
        </xdr:cNvPr>
        <xdr:cNvCxnSpPr>
          <a:cxnSpLocks noChangeShapeType="1"/>
        </xdr:cNvCxnSpPr>
      </xdr:nvCxnSpPr>
      <xdr:spPr bwMode="auto">
        <a:xfrm>
          <a:off x="19050" y="24812625"/>
          <a:ext cx="7572375" cy="0"/>
        </a:xfrm>
        <a:prstGeom prst="straightConnector1">
          <a:avLst/>
        </a:prstGeom>
        <a:noFill/>
        <a:ln w="38100">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0</xdr:col>
      <xdr:colOff>752475</xdr:colOff>
      <xdr:row>0</xdr:row>
      <xdr:rowOff>0</xdr:rowOff>
    </xdr:from>
    <xdr:to>
      <xdr:col>6</xdr:col>
      <xdr:colOff>628650</xdr:colOff>
      <xdr:row>6</xdr:row>
      <xdr:rowOff>47625</xdr:rowOff>
    </xdr:to>
    <xdr:pic>
      <xdr:nvPicPr>
        <xdr:cNvPr id="5" name="Picture 6">
          <a:extLst>
            <a:ext uri="{FF2B5EF4-FFF2-40B4-BE49-F238E27FC236}">
              <a16:creationId xmlns:a16="http://schemas.microsoft.com/office/drawing/2014/main" id="{4A4403ED-F910-46E3-84CD-7B7CD538FE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0"/>
          <a:ext cx="5676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112</xdr:row>
      <xdr:rowOff>161925</xdr:rowOff>
    </xdr:from>
    <xdr:to>
      <xdr:col>6</xdr:col>
      <xdr:colOff>1676400</xdr:colOff>
      <xdr:row>117</xdr:row>
      <xdr:rowOff>95250</xdr:rowOff>
    </xdr:to>
    <xdr:pic>
      <xdr:nvPicPr>
        <xdr:cNvPr id="6" name="Picture 7">
          <a:extLst>
            <a:ext uri="{FF2B5EF4-FFF2-40B4-BE49-F238E27FC236}">
              <a16:creationId xmlns:a16="http://schemas.microsoft.com/office/drawing/2014/main" id="{A3704B23-3B65-48BA-B9AB-C8D10FBFDA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21936075"/>
          <a:ext cx="74009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291355</xdr:colOff>
      <xdr:row>0</xdr:row>
      <xdr:rowOff>179294</xdr:rowOff>
    </xdr:from>
    <xdr:to>
      <xdr:col>8</xdr:col>
      <xdr:colOff>215976</xdr:colOff>
      <xdr:row>4</xdr:row>
      <xdr:rowOff>152661</xdr:rowOff>
    </xdr:to>
    <xdr:pic>
      <xdr:nvPicPr>
        <xdr:cNvPr id="3" name="Picture 2">
          <a:extLst>
            <a:ext uri="{FF2B5EF4-FFF2-40B4-BE49-F238E27FC236}">
              <a16:creationId xmlns:a16="http://schemas.microsoft.com/office/drawing/2014/main" id="{F6092A9D-68BD-43A6-84B5-1B1E6741162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1443" y="179294"/>
          <a:ext cx="742651" cy="7689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3</xdr:col>
      <xdr:colOff>82626</xdr:colOff>
      <xdr:row>3</xdr:row>
      <xdr:rowOff>200286</xdr:rowOff>
    </xdr:to>
    <xdr:pic>
      <xdr:nvPicPr>
        <xdr:cNvPr id="6" name="Picture 5">
          <a:extLst>
            <a:ext uri="{FF2B5EF4-FFF2-40B4-BE49-F238E27FC236}">
              <a16:creationId xmlns:a16="http://schemas.microsoft.com/office/drawing/2014/main" id="{A0570F40-A891-41AF-AB0B-906072CBB7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28575</xdr:colOff>
      <xdr:row>50</xdr:row>
      <xdr:rowOff>28574</xdr:rowOff>
    </xdr:from>
    <xdr:to>
      <xdr:col>27</xdr:col>
      <xdr:colOff>190500</xdr:colOff>
      <xdr:row>55</xdr:row>
      <xdr:rowOff>173354</xdr:rowOff>
    </xdr:to>
    <xdr:pic>
      <xdr:nvPicPr>
        <xdr:cNvPr id="7" name="Picture 6">
          <a:extLst>
            <a:ext uri="{FF2B5EF4-FFF2-40B4-BE49-F238E27FC236}">
              <a16:creationId xmlns:a16="http://schemas.microsoft.com/office/drawing/2014/main" id="{4F50BF33-D052-40F4-85A8-48B15BB0028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 y="9886949"/>
          <a:ext cx="6381750" cy="10687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4</xdr:row>
      <xdr:rowOff>261</xdr:rowOff>
    </xdr:to>
    <xdr:pic>
      <xdr:nvPicPr>
        <xdr:cNvPr id="4" name="Picture 3">
          <a:extLst>
            <a:ext uri="{FF2B5EF4-FFF2-40B4-BE49-F238E27FC236}">
              <a16:creationId xmlns:a16="http://schemas.microsoft.com/office/drawing/2014/main" id="{36F03A7E-AA19-4B18-BDD2-907AA5A4E3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19049</xdr:colOff>
      <xdr:row>49</xdr:row>
      <xdr:rowOff>19050</xdr:rowOff>
    </xdr:from>
    <xdr:to>
      <xdr:col>27</xdr:col>
      <xdr:colOff>190499</xdr:colOff>
      <xdr:row>54</xdr:row>
      <xdr:rowOff>163830</xdr:rowOff>
    </xdr:to>
    <xdr:pic>
      <xdr:nvPicPr>
        <xdr:cNvPr id="5" name="Picture 4">
          <a:extLst>
            <a:ext uri="{FF2B5EF4-FFF2-40B4-BE49-F238E27FC236}">
              <a16:creationId xmlns:a16="http://schemas.microsoft.com/office/drawing/2014/main" id="{67D19C8A-CF5F-4F78-B95C-95E69A1A713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49" y="9591675"/>
          <a:ext cx="6219825" cy="1068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3</xdr:row>
      <xdr:rowOff>85986</xdr:rowOff>
    </xdr:to>
    <xdr:pic>
      <xdr:nvPicPr>
        <xdr:cNvPr id="4" name="Picture 3">
          <a:extLst>
            <a:ext uri="{FF2B5EF4-FFF2-40B4-BE49-F238E27FC236}">
              <a16:creationId xmlns:a16="http://schemas.microsoft.com/office/drawing/2014/main" id="{189E1D94-CA8B-43C7-AB99-FA43E9C65BF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33618</xdr:colOff>
      <xdr:row>49</xdr:row>
      <xdr:rowOff>0</xdr:rowOff>
    </xdr:from>
    <xdr:to>
      <xdr:col>27</xdr:col>
      <xdr:colOff>212912</xdr:colOff>
      <xdr:row>54</xdr:row>
      <xdr:rowOff>172234</xdr:rowOff>
    </xdr:to>
    <xdr:pic>
      <xdr:nvPicPr>
        <xdr:cNvPr id="5" name="Picture 4">
          <a:extLst>
            <a:ext uri="{FF2B5EF4-FFF2-40B4-BE49-F238E27FC236}">
              <a16:creationId xmlns:a16="http://schemas.microsoft.com/office/drawing/2014/main" id="{84A29829-DFD5-4828-8930-7EE8580BFCA2}"/>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618" y="9704294"/>
          <a:ext cx="6342529" cy="10687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167530</xdr:colOff>
      <xdr:row>0</xdr:row>
      <xdr:rowOff>7844</xdr:rowOff>
    </xdr:from>
    <xdr:to>
      <xdr:col>4</xdr:col>
      <xdr:colOff>35001</xdr:colOff>
      <xdr:row>3</xdr:row>
      <xdr:rowOff>114561</xdr:rowOff>
    </xdr:to>
    <xdr:pic>
      <xdr:nvPicPr>
        <xdr:cNvPr id="4" name="Picture 3">
          <a:extLst>
            <a:ext uri="{FF2B5EF4-FFF2-40B4-BE49-F238E27FC236}">
              <a16:creationId xmlns:a16="http://schemas.microsoft.com/office/drawing/2014/main" id="{7AB1BBBA-4ABA-4E58-8EBB-1242AD9EB9F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530" y="7844"/>
          <a:ext cx="743771" cy="792517"/>
        </a:xfrm>
        <a:prstGeom prst="rect">
          <a:avLst/>
        </a:prstGeom>
      </xdr:spPr>
    </xdr:pic>
    <xdr:clientData/>
  </xdr:twoCellAnchor>
  <xdr:twoCellAnchor editAs="oneCell">
    <xdr:from>
      <xdr:col>0</xdr:col>
      <xdr:colOff>19051</xdr:colOff>
      <xdr:row>51</xdr:row>
      <xdr:rowOff>19050</xdr:rowOff>
    </xdr:from>
    <xdr:to>
      <xdr:col>27</xdr:col>
      <xdr:colOff>200026</xdr:colOff>
      <xdr:row>56</xdr:row>
      <xdr:rowOff>163830</xdr:rowOff>
    </xdr:to>
    <xdr:pic>
      <xdr:nvPicPr>
        <xdr:cNvPr id="5" name="Picture 4">
          <a:extLst>
            <a:ext uri="{FF2B5EF4-FFF2-40B4-BE49-F238E27FC236}">
              <a16:creationId xmlns:a16="http://schemas.microsoft.com/office/drawing/2014/main" id="{697C3BFB-1EEB-434A-9B46-87338704BF2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1" y="9534525"/>
          <a:ext cx="6229350" cy="10687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1.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6.xml.rels><?xml version="1.0" encoding="UTF-8" standalone="yes"?><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7.xml.rels><?xml version="1.0" encoding="UTF-8" standalone="yes"?><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8BD1-250D-409B-96C1-E816E34E9F59}">
  <sheetPr/>
  <sheetViews>
    <sheetView tabSelected="1" zoomScaleNormal="85" workbookViewId="0">
      <selection activeCell="B2" sqref="B2:C2"/>
    </sheetView>
  </sheetViews>
  <sheetFormatPr baseColWidth="10" defaultColWidth="8.83203125" defaultRowHeight="15"/>
  <cols>
    <col min="1" max="1" width="3.33203125" style="106" bestFit="1" customWidth="1"/>
    <col min="2" max="2" width="27.6640625" bestFit="1" customWidth="1"/>
    <col min="3" max="3" width="23.1640625" bestFit="1" customWidth="1"/>
    <col min="6" max="6" width="27.6640625" bestFit="1" customWidth="1"/>
    <col min="7" max="7" width="23.1640625" bestFit="1" customWidth="1"/>
  </cols>
  <sheetData>
    <row r="1" spans="1:7" ht="16" thickBot="1"/>
    <row r="2" spans="1:7">
      <c r="B2" t="s" s="200">
        <v>198</v>
      </c>
      <c r="C2" s="201"/>
      <c r="F2" t="s" s="200">
        <v>255</v>
      </c>
      <c r="G2" s="201"/>
    </row>
    <row r="3" spans="1:7">
      <c r="B3" t="s" s="139">
        <v>190</v>
      </c>
      <c r="C3" t="s" s="146">
        <v>281</v>
      </c>
      <c r="F3" t="s" s="139">
        <v>256</v>
      </c>
      <c r="G3" s="146"/>
    </row>
    <row r="4" spans="1:7">
      <c r="B4" t="s" s="139">
        <v>189</v>
      </c>
      <c r="C4" s="327">
        <v>10</v>
      </c>
      <c r="F4" t="s" s="147">
        <v>148</v>
      </c>
      <c r="G4" s="146">
        <f>IF(ISBLANK(C6),C11,C7)</f>
      </c>
    </row>
    <row r="5" spans="1:7">
      <c r="B5" t="s" s="139">
        <v>197</v>
      </c>
      <c r="C5" t="s" s="146">
        <v>282</v>
      </c>
      <c r="F5" t="s" s="147">
        <v>149</v>
      </c>
      <c r="G5" s="168">
        <f>IF(ISBLANK(C6),C12,C8)</f>
      </c>
    </row>
    <row r="6" spans="1:7">
      <c r="A6" t="s" s="184">
        <v>258</v>
      </c>
      <c r="B6" t="s" s="139">
        <v>195</v>
      </c>
      <c r="C6" s="146"/>
      <c r="F6" t="s" s="147">
        <v>188</v>
      </c>
      <c r="G6" s="146">
        <f>IF(ISBLANK(C6),C13,C9)</f>
      </c>
    </row>
    <row r="7" spans="1:7">
      <c r="B7" t="s" s="147">
        <v>148</v>
      </c>
      <c r="C7" t="s" s="146">
        <v>283</v>
      </c>
      <c r="F7" t="s" s="139">
        <v>257</v>
      </c>
      <c r="G7" s="146"/>
    </row>
    <row r="8" spans="1:7">
      <c r="B8" t="s" s="147">
        <v>149</v>
      </c>
      <c r="C8" s="146"/>
      <c r="F8" t="s" s="147">
        <v>143</v>
      </c>
      <c r="G8" s="146">
        <f>IF(ISBLANK(C6),C23,C19)</f>
      </c>
    </row>
    <row r="9" spans="1:7">
      <c r="B9" t="s" s="147">
        <v>188</v>
      </c>
      <c r="C9" t="s" s="146">
        <v>284</v>
      </c>
      <c r="F9" t="s" s="147">
        <v>192</v>
      </c>
      <c r="G9" s="146">
        <f>IF(ISBLANK(C6),C24,C20)</f>
      </c>
    </row>
    <row r="10" spans="1:7" ht="16" thickBot="1">
      <c r="B10" t="s" s="139">
        <v>196</v>
      </c>
      <c r="C10" s="146"/>
      <c r="F10" t="s" s="148">
        <v>145</v>
      </c>
      <c r="G10" s="149">
        <f>IF(ISBLANK(C6),C25,C21)</f>
      </c>
    </row>
    <row r="11" spans="1:7">
      <c r="B11" t="s" s="147">
        <v>148</v>
      </c>
      <c r="C11" t="s" s="146">
        <v>285</v>
      </c>
    </row>
    <row r="12" spans="1:7">
      <c r="B12" t="s" s="147">
        <v>149</v>
      </c>
      <c r="C12" s="146"/>
    </row>
    <row r="13" spans="1:7">
      <c r="B13" t="s" s="147">
        <v>188</v>
      </c>
      <c r="C13" t="s" s="146">
        <v>286</v>
      </c>
    </row>
    <row r="14" spans="1:7">
      <c r="B14" t="s" s="139">
        <v>134</v>
      </c>
      <c r="C14" s="146"/>
    </row>
    <row r="15" spans="1:7">
      <c r="B15" t="s" s="147">
        <v>191</v>
      </c>
      <c r="C15" s="146"/>
    </row>
    <row r="16" spans="1:7">
      <c r="B16" t="s" s="147">
        <v>192</v>
      </c>
      <c r="C16" s="146"/>
    </row>
    <row r="17" spans="1:5">
      <c r="B17" t="s" s="147">
        <v>145</v>
      </c>
      <c r="C17" s="146"/>
    </row>
    <row r="18" spans="1:5">
      <c r="B18" t="s" s="139">
        <v>193</v>
      </c>
      <c r="C18" s="146"/>
    </row>
    <row r="19" spans="1:5">
      <c r="B19" t="s" s="147">
        <v>143</v>
      </c>
      <c r="C19" s="146"/>
    </row>
    <row r="20" spans="1:5">
      <c r="B20" t="s" s="147">
        <v>192</v>
      </c>
      <c r="C20" s="146"/>
    </row>
    <row r="21" spans="1:5">
      <c r="B21" t="s" s="147">
        <v>145</v>
      </c>
      <c r="C21" s="146"/>
    </row>
    <row r="22" spans="1:5">
      <c r="B22" t="s" s="139">
        <v>194</v>
      </c>
      <c r="C22" s="146"/>
    </row>
    <row r="23" spans="1:5">
      <c r="B23" t="s" s="147">
        <v>191</v>
      </c>
      <c r="C23" s="146"/>
    </row>
    <row r="24" spans="1:5">
      <c r="B24" t="s" s="147">
        <v>192</v>
      </c>
      <c r="C24" s="146"/>
    </row>
    <row r="25" spans="1:5" ht="16" thickBot="1">
      <c r="B25" t="s" s="148">
        <v>145</v>
      </c>
      <c r="C25" s="166"/>
    </row>
    <row r="26" spans="1:5">
      <c r="C26" s="167"/>
    </row>
    <row r="28" spans="1:5" ht="16" thickBot="1">
      <c r="A28" t="s" s="106">
        <v>201</v>
      </c>
    </row>
    <row r="29" spans="1:5" ht="16" thickBot="1">
      <c r="A29" s="154"/>
      <c r="B29" t="s" s="156">
        <v>199</v>
      </c>
      <c r="C29" t="s" s="157">
        <v>200</v>
      </c>
      <c r="D29" t="s" s="157">
        <v>7</v>
      </c>
      <c r="E29" s="155"/>
    </row>
    <row r="30" spans="1:5" ht="16">
      <c r="A30" s="150">
        <v>1</v>
      </c>
      <c r="B30" t="s" s="151">
        <v>287</v>
      </c>
      <c r="C30" s="151">
        <v>1975</v>
      </c>
      <c r="D30" s="152">
        <v>0.47</v>
      </c>
      <c r="E30" s="153">
        <f>IF(ISBLANK(B30),0,IF(C30&lt;2000,RIGHT(C30,2),C30)&amp;"-"&amp;IF(B30="wet","W","D"))</f>
      </c>
    </row>
    <row r="31" spans="1:5" ht="16">
      <c r="A31" s="139">
        <v>2</v>
      </c>
      <c r="B31" t="s" s="135">
        <v>287</v>
      </c>
      <c r="C31" s="135">
        <v>1976</v>
      </c>
      <c r="D31" s="152">
        <v>0.47</v>
      </c>
      <c r="E31" s="140">
        <f t="shared" ref="E31:E94" si="0">IF(ISBLANK(B31),0,IF(C31&lt;2000,RIGHT(C31,2),C31)&amp;"-"&amp;IF(B31="wet","W","D"))</f>
      </c>
    </row>
    <row r="32" spans="1:5" ht="16">
      <c r="A32" s="139">
        <v>3</v>
      </c>
      <c r="B32" t="s" s="135">
        <v>287</v>
      </c>
      <c r="C32" s="135">
        <v>1977</v>
      </c>
      <c r="D32" s="152">
        <v>0.47</v>
      </c>
      <c r="E32" s="140">
        <f t="shared" si="0"/>
      </c>
    </row>
    <row r="33" spans="1:5" ht="16">
      <c r="A33" s="139">
        <v>4</v>
      </c>
      <c r="B33" t="s" s="135">
        <v>287</v>
      </c>
      <c r="C33" s="135">
        <v>1978</v>
      </c>
      <c r="D33" s="152">
        <v>0.47</v>
      </c>
      <c r="E33" s="140">
        <f t="shared" si="0"/>
      </c>
    </row>
    <row r="34" spans="1:5" ht="16">
      <c r="A34" s="139">
        <v>5</v>
      </c>
      <c r="B34" t="s" s="135">
        <v>287</v>
      </c>
      <c r="C34" s="135">
        <v>1979</v>
      </c>
      <c r="D34" s="152">
        <v>0.47</v>
      </c>
      <c r="E34" s="140">
        <f t="shared" si="0"/>
      </c>
    </row>
    <row r="35" spans="1:5" ht="16">
      <c r="A35" s="139">
        <v>6</v>
      </c>
      <c r="B35" t="s" s="135">
        <v>287</v>
      </c>
      <c r="C35" s="135">
        <v>1980</v>
      </c>
      <c r="D35" s="152">
        <v>0.47</v>
      </c>
      <c r="E35" s="140">
        <f t="shared" si="0"/>
      </c>
    </row>
    <row r="36" spans="1:5" ht="16">
      <c r="A36" s="139">
        <v>7</v>
      </c>
      <c r="B36" t="s" s="135">
        <v>287</v>
      </c>
      <c r="C36" s="135">
        <v>1981</v>
      </c>
      <c r="D36" s="152">
        <v>0.47</v>
      </c>
      <c r="E36" s="140">
        <f t="shared" si="0"/>
      </c>
    </row>
    <row r="37" spans="1:5" ht="16">
      <c r="A37" s="139">
        <v>8</v>
      </c>
      <c r="B37" t="s" s="135">
        <v>287</v>
      </c>
      <c r="C37" s="135">
        <v>1982</v>
      </c>
      <c r="D37" s="152">
        <v>0.47</v>
      </c>
      <c r="E37" s="140">
        <f t="shared" si="0"/>
      </c>
    </row>
    <row r="38" spans="1:5" ht="16">
      <c r="A38" s="139">
        <v>9</v>
      </c>
      <c r="B38" t="s" s="135">
        <v>287</v>
      </c>
      <c r="C38" s="135">
        <v>1983</v>
      </c>
      <c r="D38" s="152">
        <v>0.47</v>
      </c>
      <c r="E38" s="140">
        <f t="shared" si="0"/>
      </c>
    </row>
    <row r="39" spans="1:5" ht="16">
      <c r="A39" s="139">
        <v>10</v>
      </c>
      <c r="B39" t="s" s="135">
        <v>287</v>
      </c>
      <c r="C39" s="135">
        <v>1984</v>
      </c>
      <c r="D39" s="152">
        <v>0.47</v>
      </c>
      <c r="E39" s="140">
        <f t="shared" si="0"/>
      </c>
    </row>
    <row r="40" spans="1:5" ht="16">
      <c r="A40" s="139">
        <v>11</v>
      </c>
      <c r="B40" t="s" s="135">
        <v>287</v>
      </c>
      <c r="C40" s="135">
        <v>1985</v>
      </c>
      <c r="D40" s="152">
        <v>0.47</v>
      </c>
      <c r="E40" s="140">
        <f t="shared" si="0"/>
      </c>
    </row>
    <row r="41" spans="1:5" ht="16">
      <c r="A41" s="139">
        <v>12</v>
      </c>
      <c r="B41" t="s" s="135">
        <v>287</v>
      </c>
      <c r="C41" s="135">
        <v>1986</v>
      </c>
      <c r="D41" s="152">
        <v>0.47</v>
      </c>
      <c r="E41" s="140">
        <f t="shared" si="0"/>
      </c>
    </row>
    <row r="42" spans="1:5" ht="16">
      <c r="A42" s="139">
        <v>13</v>
      </c>
      <c r="B42" t="s" s="135">
        <v>287</v>
      </c>
      <c r="C42" s="135">
        <v>1987</v>
      </c>
      <c r="D42" s="152">
        <v>0.47</v>
      </c>
      <c r="E42" s="140">
        <f t="shared" si="0"/>
      </c>
    </row>
    <row r="43" spans="1:5" ht="16">
      <c r="A43" s="139">
        <v>14</v>
      </c>
      <c r="B43" t="s" s="135">
        <v>287</v>
      </c>
      <c r="C43" s="135">
        <v>1988</v>
      </c>
      <c r="D43" s="152">
        <v>0.47</v>
      </c>
      <c r="E43" s="140">
        <f t="shared" si="0"/>
      </c>
    </row>
    <row r="44" spans="1:5" ht="16">
      <c r="A44" s="139">
        <v>15</v>
      </c>
      <c r="B44" t="s" s="135">
        <v>287</v>
      </c>
      <c r="C44" s="135">
        <v>1989</v>
      </c>
      <c r="D44" s="152">
        <v>0.47</v>
      </c>
      <c r="E44" s="140">
        <f t="shared" si="0"/>
      </c>
    </row>
    <row r="45" spans="1:5" ht="16">
      <c r="A45" s="139">
        <v>16</v>
      </c>
      <c r="B45" t="s" s="135">
        <v>287</v>
      </c>
      <c r="C45" s="135">
        <v>1991</v>
      </c>
      <c r="D45" s="152">
        <v>0.47</v>
      </c>
      <c r="E45" s="140">
        <f t="shared" si="0"/>
      </c>
    </row>
    <row r="46" spans="1:5" ht="16">
      <c r="A46" s="139">
        <v>17</v>
      </c>
      <c r="B46" t="s" s="135">
        <v>287</v>
      </c>
      <c r="C46" s="135">
        <v>1992</v>
      </c>
      <c r="D46" s="152">
        <v>0.47</v>
      </c>
      <c r="E46" s="140">
        <f t="shared" si="0"/>
      </c>
    </row>
    <row r="47" spans="1:5" ht="16">
      <c r="A47" s="139">
        <v>18</v>
      </c>
      <c r="B47" t="s" s="135">
        <v>287</v>
      </c>
      <c r="C47" s="135">
        <v>1993</v>
      </c>
      <c r="D47" s="152">
        <v>0.47</v>
      </c>
      <c r="E47" s="140">
        <f t="shared" si="0"/>
      </c>
    </row>
    <row r="48" spans="1:5" ht="16">
      <c r="A48" s="139">
        <v>19</v>
      </c>
      <c r="B48" t="s" s="135">
        <v>287</v>
      </c>
      <c r="C48" s="135">
        <v>1993</v>
      </c>
      <c r="D48" s="152">
        <v>0.47</v>
      </c>
      <c r="E48" s="140">
        <f t="shared" si="0"/>
      </c>
    </row>
    <row r="49" spans="1:5" ht="16">
      <c r="A49" s="139">
        <v>20</v>
      </c>
      <c r="B49" t="s" s="135">
        <v>287</v>
      </c>
      <c r="C49" s="135">
        <v>1994</v>
      </c>
      <c r="D49" s="152">
        <v>0.47</v>
      </c>
      <c r="E49" s="140">
        <f t="shared" si="0"/>
      </c>
    </row>
    <row r="50" spans="1:5" ht="16">
      <c r="A50" s="139">
        <v>21</v>
      </c>
      <c r="B50" t="s" s="135">
        <v>287</v>
      </c>
      <c r="C50" s="135">
        <v>1995</v>
      </c>
      <c r="D50" s="152">
        <v>0.47</v>
      </c>
      <c r="E50" s="140">
        <f t="shared" si="0"/>
      </c>
    </row>
    <row r="51" spans="1:5" ht="16">
      <c r="A51" s="139">
        <v>22</v>
      </c>
      <c r="B51" t="s" s="135">
        <v>287</v>
      </c>
      <c r="C51" s="135">
        <v>1996</v>
      </c>
      <c r="D51" s="152">
        <v>0.47</v>
      </c>
      <c r="E51" s="140">
        <f t="shared" si="0"/>
      </c>
    </row>
    <row r="52" spans="1:5" ht="16">
      <c r="A52" s="139">
        <v>23</v>
      </c>
      <c r="B52" t="s" s="135">
        <v>287</v>
      </c>
      <c r="C52" s="135">
        <v>1997</v>
      </c>
      <c r="D52" s="152">
        <v>0.47</v>
      </c>
      <c r="E52" s="140">
        <f t="shared" si="0"/>
      </c>
    </row>
    <row r="53" spans="1:5" ht="16">
      <c r="A53" s="139">
        <v>24</v>
      </c>
      <c r="B53" t="s" s="135">
        <v>287</v>
      </c>
      <c r="C53" s="135">
        <v>1999</v>
      </c>
      <c r="D53" s="152">
        <v>0.47</v>
      </c>
      <c r="E53" s="140">
        <f t="shared" si="0"/>
      </c>
    </row>
    <row r="54" spans="1:5" ht="16">
      <c r="A54" s="139">
        <v>25</v>
      </c>
      <c r="B54" t="s" s="135">
        <v>287</v>
      </c>
      <c r="C54" s="135">
        <v>2000</v>
      </c>
      <c r="D54" s="152">
        <v>0.47</v>
      </c>
      <c r="E54" s="140">
        <f t="shared" si="0"/>
      </c>
    </row>
    <row r="55" spans="1:5" ht="16">
      <c r="A55" s="139">
        <v>26</v>
      </c>
      <c r="B55" t="s" s="135">
        <v>287</v>
      </c>
      <c r="C55" s="135">
        <v>2001</v>
      </c>
      <c r="D55" s="152">
        <v>0.47</v>
      </c>
      <c r="E55" s="140">
        <f t="shared" si="0"/>
      </c>
    </row>
    <row r="56" spans="1:5" ht="16">
      <c r="A56" s="139">
        <v>27</v>
      </c>
      <c r="B56" t="s" s="135">
        <v>287</v>
      </c>
      <c r="C56" s="135">
        <v>2002</v>
      </c>
      <c r="D56" s="152">
        <v>0.47</v>
      </c>
      <c r="E56" s="140">
        <f t="shared" si="0"/>
      </c>
    </row>
    <row r="57" spans="1:5" ht="16">
      <c r="A57" s="139">
        <v>28</v>
      </c>
      <c r="B57" t="s" s="135">
        <v>287</v>
      </c>
      <c r="C57" s="135">
        <v>2003</v>
      </c>
      <c r="D57" s="152">
        <v>0.47</v>
      </c>
      <c r="E57" s="140">
        <f t="shared" si="0"/>
      </c>
    </row>
    <row r="58" spans="1:5" ht="16">
      <c r="A58" s="139">
        <v>29</v>
      </c>
      <c r="B58" t="s" s="135">
        <v>287</v>
      </c>
      <c r="C58" s="135">
        <v>2004</v>
      </c>
      <c r="D58" s="152">
        <v>0.47</v>
      </c>
      <c r="E58" s="140">
        <f t="shared" si="0"/>
      </c>
    </row>
    <row r="59" spans="1:5" ht="16">
      <c r="A59" s="139">
        <v>30</v>
      </c>
      <c r="B59" t="s" s="135">
        <v>287</v>
      </c>
      <c r="C59" s="135">
        <v>2005</v>
      </c>
      <c r="D59" s="152">
        <v>0.47</v>
      </c>
      <c r="E59" s="140">
        <f t="shared" si="0"/>
      </c>
    </row>
    <row r="60" spans="1:5" ht="16">
      <c r="A60" s="139">
        <v>31</v>
      </c>
      <c r="B60" t="s" s="135">
        <v>287</v>
      </c>
      <c r="C60" s="135">
        <v>2006</v>
      </c>
      <c r="D60" s="152">
        <v>0.47</v>
      </c>
      <c r="E60" s="140">
        <f t="shared" si="0"/>
      </c>
    </row>
    <row r="61" spans="1:5" ht="16">
      <c r="A61" s="139">
        <v>32</v>
      </c>
      <c r="B61" t="s" s="135">
        <v>287</v>
      </c>
      <c r="C61" s="135">
        <v>2007</v>
      </c>
      <c r="D61" s="152">
        <v>0.47</v>
      </c>
      <c r="E61" s="140">
        <f t="shared" si="0"/>
      </c>
    </row>
    <row r="62" spans="1:5" ht="16">
      <c r="A62" s="139">
        <v>33</v>
      </c>
      <c r="B62" t="s" s="135">
        <v>287</v>
      </c>
      <c r="C62" s="135">
        <v>2008</v>
      </c>
      <c r="D62" s="152">
        <v>0.47</v>
      </c>
      <c r="E62" s="140">
        <f t="shared" si="0"/>
      </c>
    </row>
    <row r="63" spans="1:5" ht="16">
      <c r="A63" s="139">
        <v>34</v>
      </c>
      <c r="B63" t="s" s="135">
        <v>287</v>
      </c>
      <c r="C63" s="135">
        <v>2009</v>
      </c>
      <c r="D63" s="152">
        <v>0.47</v>
      </c>
      <c r="E63" s="140">
        <f t="shared" si="0"/>
      </c>
    </row>
    <row r="64" spans="1:5" ht="16">
      <c r="A64" s="139">
        <v>35</v>
      </c>
      <c r="B64" t="s" s="135">
        <v>287</v>
      </c>
      <c r="C64" s="135">
        <v>2010</v>
      </c>
      <c r="D64" s="152">
        <v>0.47</v>
      </c>
      <c r="E64" s="140">
        <f t="shared" si="0"/>
      </c>
    </row>
    <row r="65" spans="1:5" ht="16">
      <c r="A65" s="139">
        <v>36</v>
      </c>
      <c r="B65" t="s" s="135">
        <v>287</v>
      </c>
      <c r="C65" s="135">
        <v>2011</v>
      </c>
      <c r="D65" s="152">
        <v>0.47</v>
      </c>
      <c r="E65" s="140">
        <f t="shared" si="0"/>
      </c>
    </row>
    <row r="66" spans="1:5" ht="16">
      <c r="A66" s="139">
        <v>37</v>
      </c>
      <c r="B66" t="s" s="135">
        <v>287</v>
      </c>
      <c r="C66" s="135">
        <v>2012</v>
      </c>
      <c r="D66" s="152">
        <v>0.47</v>
      </c>
      <c r="E66" s="140">
        <f t="shared" si="0"/>
      </c>
    </row>
    <row r="67" spans="1:5" ht="16">
      <c r="A67" s="139">
        <v>38</v>
      </c>
      <c r="B67" s="135"/>
      <c r="C67" s="135"/>
      <c r="D67" s="152"/>
      <c r="E67" s="140">
        <f t="shared" si="0"/>
      </c>
    </row>
    <row r="68" spans="1:5" ht="16">
      <c r="A68" s="139">
        <v>39</v>
      </c>
      <c r="B68" s="135"/>
      <c r="C68" s="135"/>
      <c r="D68" s="152"/>
      <c r="E68" s="140">
        <f t="shared" si="0"/>
      </c>
    </row>
    <row r="69" spans="1:5" ht="16">
      <c r="A69" s="139">
        <v>40</v>
      </c>
      <c r="B69" s="135"/>
      <c r="C69" s="135"/>
      <c r="D69" s="152"/>
      <c r="E69" s="140">
        <f t="shared" si="0"/>
      </c>
    </row>
    <row r="70" spans="1:5" ht="16">
      <c r="A70" s="139">
        <v>41</v>
      </c>
      <c r="B70" s="138"/>
      <c r="C70" s="138"/>
      <c r="D70" s="152"/>
      <c r="E70" s="140">
        <f t="shared" si="0"/>
      </c>
    </row>
    <row r="71" spans="1:5" ht="16">
      <c r="A71" s="139">
        <v>42</v>
      </c>
      <c r="B71" s="138"/>
      <c r="C71" s="138"/>
      <c r="D71" s="152"/>
      <c r="E71" s="140">
        <f t="shared" si="0"/>
      </c>
    </row>
    <row r="72" spans="1:5" ht="16">
      <c r="A72" s="139">
        <v>43</v>
      </c>
      <c r="B72" s="138"/>
      <c r="C72" s="138"/>
      <c r="D72" s="152"/>
      <c r="E72" s="140">
        <f t="shared" si="0"/>
      </c>
    </row>
    <row r="73" spans="1:5" ht="16">
      <c r="A73" s="139">
        <v>44</v>
      </c>
      <c r="B73" s="138"/>
      <c r="C73" s="138"/>
      <c r="D73" s="152"/>
      <c r="E73" s="140">
        <f t="shared" si="0"/>
      </c>
    </row>
    <row r="74" spans="1:5" ht="16">
      <c r="A74" s="139">
        <v>45</v>
      </c>
      <c r="B74" s="138"/>
      <c r="C74" s="138"/>
      <c r="D74" s="152"/>
      <c r="E74" s="140">
        <f t="shared" si="0"/>
      </c>
    </row>
    <row r="75" spans="1:5" ht="16">
      <c r="A75" s="139">
        <v>46</v>
      </c>
      <c r="B75" s="138"/>
      <c r="C75" s="138"/>
      <c r="D75" s="152"/>
      <c r="E75" s="140">
        <f t="shared" si="0"/>
      </c>
    </row>
    <row r="76" spans="1:5" ht="16">
      <c r="A76" s="139">
        <v>47</v>
      </c>
      <c r="B76" s="138"/>
      <c r="C76" s="138"/>
      <c r="D76" s="152"/>
      <c r="E76" s="140">
        <f t="shared" si="0"/>
      </c>
    </row>
    <row r="77" spans="1:5" ht="16">
      <c r="A77" s="139">
        <v>48</v>
      </c>
      <c r="B77" s="138"/>
      <c r="C77" s="138"/>
      <c r="D77" s="152"/>
      <c r="E77" s="140">
        <f t="shared" si="0"/>
      </c>
    </row>
    <row r="78" spans="1:5" ht="16">
      <c r="A78" s="139">
        <v>49</v>
      </c>
      <c r="B78" s="138"/>
      <c r="C78" s="138"/>
      <c r="D78" s="152"/>
      <c r="E78" s="140">
        <f t="shared" si="0"/>
      </c>
    </row>
    <row r="79" spans="1:5" ht="16">
      <c r="A79" s="139">
        <v>50</v>
      </c>
      <c r="B79" s="138"/>
      <c r="C79" s="138"/>
      <c r="D79" s="152"/>
      <c r="E79" s="140">
        <f t="shared" si="0"/>
      </c>
    </row>
    <row r="80" spans="1:5" ht="16">
      <c r="A80" s="139">
        <v>51</v>
      </c>
      <c r="B80" s="138"/>
      <c r="C80" s="138"/>
      <c r="D80" s="152"/>
      <c r="E80" s="140">
        <f t="shared" si="0"/>
      </c>
    </row>
    <row r="81" spans="1:5" ht="16">
      <c r="A81" s="139">
        <v>52</v>
      </c>
      <c r="B81" s="138"/>
      <c r="C81" s="138"/>
      <c r="D81" s="152"/>
      <c r="E81" s="140">
        <f t="shared" si="0"/>
      </c>
    </row>
    <row r="82" spans="1:5" ht="16">
      <c r="A82" s="139">
        <v>53</v>
      </c>
      <c r="B82" s="138"/>
      <c r="C82" s="138"/>
      <c r="D82" s="152"/>
      <c r="E82" s="140">
        <f t="shared" si="0"/>
      </c>
    </row>
    <row r="83" spans="1:5" ht="16">
      <c r="A83" s="139">
        <v>54</v>
      </c>
      <c r="B83" s="138"/>
      <c r="C83" s="138"/>
      <c r="D83" s="152"/>
      <c r="E83" s="140">
        <f t="shared" si="0"/>
      </c>
    </row>
    <row r="84" spans="1:5" ht="16">
      <c r="A84" s="139">
        <v>55</v>
      </c>
      <c r="B84" s="138"/>
      <c r="C84" s="138"/>
      <c r="D84" s="152"/>
      <c r="E84" s="140">
        <f t="shared" si="0"/>
      </c>
    </row>
    <row r="85" spans="1:5" ht="16">
      <c r="A85" s="139">
        <v>56</v>
      </c>
      <c r="B85" s="138"/>
      <c r="C85" s="138"/>
      <c r="D85" s="152"/>
      <c r="E85" s="140">
        <f t="shared" si="0"/>
      </c>
    </row>
    <row r="86" spans="1:5" ht="16">
      <c r="A86" s="139">
        <v>57</v>
      </c>
      <c r="B86" s="138"/>
      <c r="C86" s="138"/>
      <c r="D86" s="152"/>
      <c r="E86" s="140">
        <f t="shared" si="0"/>
      </c>
    </row>
    <row r="87" spans="1:5" ht="16">
      <c r="A87" s="139">
        <v>58</v>
      </c>
      <c r="B87" s="138"/>
      <c r="C87" s="138"/>
      <c r="D87" s="152"/>
      <c r="E87" s="140">
        <f t="shared" si="0"/>
      </c>
    </row>
    <row r="88" spans="1:5" ht="16">
      <c r="A88" s="139">
        <v>59</v>
      </c>
      <c r="B88" s="138"/>
      <c r="C88" s="138"/>
      <c r="D88" s="152"/>
      <c r="E88" s="140">
        <f t="shared" si="0"/>
      </c>
    </row>
    <row r="89" spans="1:5" ht="16">
      <c r="A89" s="139">
        <v>60</v>
      </c>
      <c r="B89" s="138"/>
      <c r="C89" s="138"/>
      <c r="D89" s="152"/>
      <c r="E89" s="140">
        <f t="shared" si="0"/>
      </c>
    </row>
    <row r="90" spans="1:5" ht="16">
      <c r="A90" s="139">
        <v>61</v>
      </c>
      <c r="B90" s="138"/>
      <c r="C90" s="138"/>
      <c r="D90" s="152"/>
      <c r="E90" s="140">
        <f t="shared" si="0"/>
      </c>
    </row>
    <row r="91" spans="1:5" ht="16">
      <c r="A91" s="139">
        <v>62</v>
      </c>
      <c r="B91" s="138"/>
      <c r="C91" s="138"/>
      <c r="D91" s="152"/>
      <c r="E91" s="140">
        <f t="shared" si="0"/>
      </c>
    </row>
    <row r="92" spans="1:5" ht="16">
      <c r="A92" s="139">
        <v>63</v>
      </c>
      <c r="B92" s="138"/>
      <c r="C92" s="138"/>
      <c r="D92" s="137"/>
      <c r="E92" s="140">
        <f t="shared" si="0"/>
      </c>
    </row>
    <row r="93" spans="1:5" ht="16">
      <c r="A93" s="139">
        <v>64</v>
      </c>
      <c r="B93" s="138"/>
      <c r="C93" s="138"/>
      <c r="D93" s="137"/>
      <c r="E93" s="140">
        <f t="shared" si="0"/>
      </c>
    </row>
    <row r="94" spans="1:5" ht="16">
      <c r="A94" s="139">
        <v>65</v>
      </c>
      <c r="B94" s="138"/>
      <c r="C94" s="138"/>
      <c r="D94" s="137"/>
      <c r="E94" s="140">
        <f t="shared" si="0"/>
      </c>
    </row>
    <row r="95" spans="1:5" ht="16">
      <c r="A95" s="139">
        <v>66</v>
      </c>
      <c r="B95" s="138"/>
      <c r="C95" s="138"/>
      <c r="D95" s="137"/>
      <c r="E95" s="140">
        <f t="shared" ref="E95:E112" si="1">IF(ISBLANK(B95),0,IF(C95&lt;2000,RIGHT(C95,2),C95)&amp;"-"&amp;IF(B95="wet","W","D"))</f>
      </c>
    </row>
    <row r="96" spans="1:5" ht="16">
      <c r="A96" s="139">
        <v>67</v>
      </c>
      <c r="B96" s="138"/>
      <c r="C96" s="138"/>
      <c r="D96" s="137"/>
      <c r="E96" s="140">
        <f t="shared" si="1"/>
      </c>
    </row>
    <row r="97" spans="1:5" ht="16">
      <c r="A97" s="139">
        <v>68</v>
      </c>
      <c r="B97" s="138"/>
      <c r="C97" s="138"/>
      <c r="D97" s="137"/>
      <c r="E97" s="140">
        <f t="shared" si="1"/>
      </c>
    </row>
    <row r="98" spans="1:5" ht="16">
      <c r="A98" s="139">
        <v>69</v>
      </c>
      <c r="B98" s="138"/>
      <c r="C98" s="138"/>
      <c r="D98" s="137"/>
      <c r="E98" s="140">
        <f t="shared" si="1"/>
      </c>
    </row>
    <row r="99" spans="1:5" ht="16">
      <c r="A99" s="139">
        <v>70</v>
      </c>
      <c r="B99" s="138"/>
      <c r="C99" s="138"/>
      <c r="D99" s="137"/>
      <c r="E99" s="140">
        <f t="shared" si="1"/>
      </c>
    </row>
    <row r="100" spans="1:5" ht="16">
      <c r="A100" s="139">
        <v>71</v>
      </c>
      <c r="B100" s="138"/>
      <c r="C100" s="138"/>
      <c r="D100" s="137"/>
      <c r="E100" s="140">
        <f t="shared" si="1"/>
      </c>
    </row>
    <row r="101" spans="1:5" ht="16">
      <c r="A101" s="139">
        <v>72</v>
      </c>
      <c r="B101" s="138"/>
      <c r="C101" s="138"/>
      <c r="D101" s="137"/>
      <c r="E101" s="140">
        <f t="shared" si="1"/>
      </c>
    </row>
    <row r="102" spans="1:5" ht="16">
      <c r="A102" s="139">
        <v>73</v>
      </c>
      <c r="B102" s="138"/>
      <c r="C102" s="138"/>
      <c r="D102" s="137"/>
      <c r="E102" s="140">
        <f t="shared" si="1"/>
      </c>
    </row>
    <row r="103" spans="1:5" ht="16">
      <c r="A103" s="139">
        <v>74</v>
      </c>
      <c r="B103" s="138"/>
      <c r="C103" s="138"/>
      <c r="D103" s="137"/>
      <c r="E103" s="140">
        <f t="shared" si="1"/>
      </c>
    </row>
    <row r="104" spans="1:5" ht="16">
      <c r="A104" s="139">
        <v>75</v>
      </c>
      <c r="B104" s="138"/>
      <c r="C104" s="138"/>
      <c r="D104" s="137"/>
      <c r="E104" s="140">
        <f t="shared" si="1"/>
      </c>
    </row>
    <row r="105" spans="1:5" ht="16">
      <c r="A105" s="139">
        <v>76</v>
      </c>
      <c r="B105" s="138"/>
      <c r="C105" s="138"/>
      <c r="D105" s="137"/>
      <c r="E105" s="140">
        <f t="shared" si="1"/>
      </c>
    </row>
    <row r="106" spans="1:5" ht="16">
      <c r="A106" s="139">
        <v>77</v>
      </c>
      <c r="B106" s="138"/>
      <c r="C106" s="138"/>
      <c r="D106" s="137"/>
      <c r="E106" s="140">
        <f t="shared" si="1"/>
      </c>
    </row>
    <row r="107" spans="1:5" ht="16">
      <c r="A107" s="139">
        <v>78</v>
      </c>
      <c r="B107" s="138"/>
      <c r="C107" s="138"/>
      <c r="D107" s="137"/>
      <c r="E107" s="140">
        <f t="shared" si="1"/>
      </c>
    </row>
    <row r="108" spans="1:5" ht="16">
      <c r="A108" s="139">
        <v>79</v>
      </c>
      <c r="B108" s="138"/>
      <c r="C108" s="138"/>
      <c r="D108" s="137"/>
      <c r="E108" s="140">
        <f t="shared" si="1"/>
      </c>
    </row>
    <row r="109" spans="1:5" ht="16">
      <c r="A109" s="139">
        <v>80</v>
      </c>
      <c r="B109" s="138"/>
      <c r="C109" s="138"/>
      <c r="D109" s="137"/>
      <c r="E109" s="140">
        <f t="shared" si="1"/>
      </c>
    </row>
    <row r="110" spans="1:5" ht="16">
      <c r="A110" s="139">
        <v>81</v>
      </c>
      <c r="B110" s="138"/>
      <c r="C110" s="138"/>
      <c r="D110" s="137"/>
      <c r="E110" s="140">
        <f t="shared" si="1"/>
      </c>
    </row>
    <row r="111" spans="1:5" ht="16">
      <c r="A111" s="139">
        <v>82</v>
      </c>
      <c r="B111" s="138"/>
      <c r="C111" s="138"/>
      <c r="D111" s="137"/>
      <c r="E111" s="140">
        <f t="shared" si="1"/>
      </c>
    </row>
    <row r="112" spans="1:5" ht="17" thickBot="1">
      <c r="A112" s="141">
        <v>83</v>
      </c>
      <c r="B112" s="142"/>
      <c r="C112" s="142"/>
      <c r="D112" s="143"/>
      <c r="E112" s="144">
        <f t="shared" si="1"/>
      </c>
    </row>
  </sheetData>
  <mergeCells count="2">
    <mergeCell ref="B2:C2"/>
    <mergeCell ref="F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sheetViews>
    <sheetView view="pageBreakPreview" topLeftCell="A8" zoomScale="164" zoomScaleNormal="100" zoomScaleSheetLayoutView="85" workbookViewId="0">
      <selection activeCell="C13" sqref="C13"/>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9.33203125" customWidth="1"/>
  </cols>
  <sheetData>
    <row r="1" spans="1:7">
      <c r="A1" s="203"/>
      <c r="B1" s="203"/>
      <c r="C1" s="203"/>
      <c r="D1" s="203"/>
      <c r="E1" s="203"/>
      <c r="F1" s="203"/>
      <c r="G1" s="203"/>
    </row>
    <row r="2" spans="1:7">
      <c r="A2" t="s" s="204">
        <v>262</v>
      </c>
      <c r="B2" s="204"/>
      <c r="C2" s="204"/>
      <c r="D2" s="204"/>
      <c r="E2" s="204"/>
      <c r="F2" s="204"/>
      <c r="G2" s="204"/>
    </row>
    <row r="3" spans="1:7" ht="17">
      <c r="A3" t="s" s="205">
        <v>263</v>
      </c>
      <c r="B3" s="205"/>
      <c r="C3" s="205"/>
      <c r="D3" s="205"/>
      <c r="E3" s="205"/>
      <c r="F3" s="205"/>
      <c r="G3" s="205"/>
    </row>
    <row r="4" spans="1:7">
      <c r="A4" t="s" s="203">
        <v>264</v>
      </c>
      <c r="B4" s="206"/>
      <c r="C4" s="206"/>
      <c r="D4" s="206"/>
      <c r="E4" s="206"/>
      <c r="F4" s="206"/>
      <c r="G4" s="206"/>
    </row>
    <row r="5" spans="1:7">
      <c r="A5" t="s" s="203">
        <v>265</v>
      </c>
      <c r="B5" s="203"/>
      <c r="C5" s="203"/>
      <c r="D5" s="203"/>
      <c r="E5" s="203"/>
      <c r="F5" s="203"/>
      <c r="G5" s="203"/>
    </row>
    <row r="6" spans="1:7">
      <c r="A6" s="1"/>
      <c r="B6" s="2"/>
      <c r="C6" s="2"/>
      <c r="D6" s="2"/>
      <c r="E6" s="2"/>
      <c r="F6" s="2"/>
      <c r="G6" s="2"/>
    </row>
    <row r="7" spans="1:7">
      <c r="A7" s="3"/>
      <c r="B7" s="3"/>
      <c r="C7" s="3"/>
      <c r="D7" s="3"/>
      <c r="E7" s="3"/>
      <c r="F7" s="3"/>
      <c r="G7" s="3"/>
    </row>
    <row r="8" spans="1:7">
      <c r="A8" s="3"/>
      <c r="B8" s="3"/>
      <c r="C8" s="3"/>
      <c r="D8" s="3"/>
      <c r="E8" s="3"/>
      <c r="F8" s="3"/>
      <c r="G8" s="3"/>
    </row>
    <row r="9" spans="1:7" ht="20">
      <c r="A9" t="s" s="202">
        <v>0</v>
      </c>
      <c r="B9" s="202"/>
      <c r="C9" s="202"/>
      <c r="D9" s="202"/>
      <c r="E9" s="202"/>
      <c r="F9" s="202"/>
      <c r="G9" s="202"/>
    </row>
    <row r="10" spans="1:7">
      <c r="A10" s="209">
        <f ca="1">"as of "&amp;TEXT(TODAY(),"mmmm dd, yyyy")</f>
      </c>
      <c r="B10" s="209"/>
      <c r="C10" s="209"/>
      <c r="D10" s="209"/>
      <c r="E10" s="209"/>
      <c r="F10" s="209"/>
      <c r="G10" s="209"/>
    </row>
    <row r="11" spans="1:7">
      <c r="A11" s="210"/>
      <c r="B11" s="210"/>
      <c r="C11" s="6"/>
      <c r="D11" s="7"/>
      <c r="E11" s="4"/>
      <c r="F11" s="7"/>
      <c r="G11" s="7"/>
    </row>
    <row r="12" spans="1:7" ht="20">
      <c r="A12" t="s" s="211">
        <v>1</v>
      </c>
      <c r="B12" s="211"/>
      <c r="C12" s="8"/>
      <c r="D12" s="9"/>
      <c r="E12" s="10"/>
      <c r="F12" t="s" s="11">
        <v>2</v>
      </c>
      <c r="G12" s="12">
        <f>'00 ACC DETAILS 01'!C4&amp;" - "&amp;'00 ACC DETAILS 01'!C5</f>
      </c>
    </row>
    <row r="13" spans="1:7" ht="20">
      <c r="A13" t="s" s="10">
        <v>3</v>
      </c>
      <c r="B13" s="13"/>
      <c r="C13" s="14">
        <f>'00 ACC DETAILS 01'!C3</f>
      </c>
      <c r="D13" s="9"/>
      <c r="E13" s="10"/>
      <c r="F13" t="s" s="11">
        <v>4</v>
      </c>
      <c cm="1" r="G13" s="15">
        <f t="array" ref="G13">LOOKUP(2,0/(A17:A99),A17:A99)</f>
      </c>
    </row>
    <row r="14" spans="1:7">
      <c r="A14" t="s" s="10">
        <v>5</v>
      </c>
      <c r="B14" s="16"/>
      <c r="C14" s="17">
        <f>IF(ISBLANK('00 ACC DETAILS 01'!C8),'00 ACC DETAILS 01'!C7&amp;" "&amp;'00 ACC DETAILS 01'!C9,'00 ACC DETAILS 01'!C7&amp;" "&amp;'00 ACC DETAILS 01'!C8&amp;" "&amp;'00 ACC DETAILS 01'!C9)</f>
      </c>
      <c r="D14" s="17"/>
      <c r="E14" t="s" s="10">
        <v>6</v>
      </c>
      <c r="F14" s="212"/>
      <c r="G14" s="212"/>
    </row>
    <row r="15" spans="1:7" ht="16" thickBot="1">
      <c r="A15" t="s" s="10">
        <v>288</v>
      </c>
      <c r="B15" s="10"/>
      <c r="C15" s="17">
        <f>IF(ISBLANK('00 ACC DETAILS 01'!C12),'00 ACC DETAILS 01'!C11&amp;" "&amp;'00 ACC DETAILS 01'!C13,'00 ACC DETAILS 01'!C11&amp;" "&amp;'00 ACC DETAILS 01'!C12&amp;" "&amp;'00 ACC DETAILS 01'!C13)</f>
      </c>
      <c r="D15" s="18"/>
      <c r="E15" t="s" s="10">
        <v>6</v>
      </c>
      <c r="F15" s="212"/>
      <c r="G15" s="212"/>
    </row>
    <row r="16" spans="1:7" ht="16" thickBot="1">
      <c r="A16" t="s" s="19">
        <v>7</v>
      </c>
      <c r="B16" t="s" s="20">
        <v>8</v>
      </c>
      <c r="C16" t="s" s="20">
        <v>9</v>
      </c>
      <c r="D16" t="s" s="20">
        <v>10</v>
      </c>
      <c r="E16" t="s" s="21">
        <v>11</v>
      </c>
      <c r="F16" t="s" s="20">
        <v>12</v>
      </c>
      <c r="G16" t="s" s="20">
        <v>13</v>
      </c>
    </row>
    <row r="17" spans="1:7">
      <c r="A17" s="133">
        <f>IFERROR((LOOKUP(MATCH(B17,'00 ACC DETAILS 01'!$E$30:$E$112,0),'00 ACC DETAILS 01'!$A$30:$A$112,'00 ACC DETAILS 01'!$D$30:$D$112)),0)</f>
      </c>
      <c r="B17" t="s" s="22">
        <v>14</v>
      </c>
      <c r="C17" s="23">
        <f>15*100</f>
      </c>
      <c r="D17" s="23">
        <f t="shared" ref="D17:D80" si="0">A17*C17</f>
      </c>
      <c r="E17" s="24">
        <f>E19+12</f>
      </c>
      <c r="F17" s="25">
        <f t="shared" ref="F17:F80" si="1">D17*E17/100</f>
      </c>
      <c r="G17" s="26">
        <f t="shared" ref="G17:G80" si="2">D17+F17</f>
      </c>
    </row>
    <row r="18" spans="1:7">
      <c r="A18" s="133">
        <f>IFERROR((LOOKUP(MATCH(B18,'00 ACC DETAILS 01'!$E$30:$E$112,0),'00 ACC DETAILS 01'!$A$30:$A$112,'00 ACC DETAILS 01'!$D$30:$D$112)),0)</f>
      </c>
      <c r="B18" t="s" s="27">
        <v>15</v>
      </c>
      <c r="C18" s="28">
        <f>15*150</f>
      </c>
      <c r="D18" s="23">
        <f t="shared" si="0"/>
      </c>
      <c r="E18" s="29">
        <f>E20+12</f>
      </c>
      <c r="F18" s="25">
        <f t="shared" si="1"/>
      </c>
      <c r="G18" s="26">
        <f t="shared" si="2"/>
      </c>
    </row>
    <row r="19" spans="1:7">
      <c r="A19" s="133">
        <f>IFERROR((LOOKUP(MATCH(B19,'00 ACC DETAILS 01'!$E$30:$E$112,0),'00 ACC DETAILS 01'!$A$30:$A$112,'00 ACC DETAILS 01'!$D$30:$D$112)),0)</f>
      </c>
      <c r="B19" t="s" s="27">
        <v>16</v>
      </c>
      <c r="C19" s="28">
        <f t="shared" ref="C19:C61" si="3">C17</f>
      </c>
      <c r="D19" s="23">
        <f t="shared" si="0"/>
      </c>
      <c r="E19" s="29">
        <f>E20+12</f>
      </c>
      <c r="F19" s="25">
        <f t="shared" si="1"/>
      </c>
      <c r="G19" s="26">
        <f t="shared" si="2"/>
      </c>
    </row>
    <row r="20" spans="1:7">
      <c r="A20" s="133">
        <f>IFERROR((LOOKUP(MATCH(B20,'00 ACC DETAILS 01'!$E$30:$E$112,0),'00 ACC DETAILS 01'!$A$30:$A$112,'00 ACC DETAILS 01'!$D$30:$D$112)),0)</f>
      </c>
      <c r="B20" t="s" s="27">
        <v>17</v>
      </c>
      <c r="C20" s="28">
        <f t="shared" si="3"/>
      </c>
      <c r="D20" s="23">
        <f t="shared" si="0"/>
      </c>
      <c r="E20" s="29">
        <f>E22+12</f>
      </c>
      <c r="F20" s="25">
        <f t="shared" si="1"/>
      </c>
      <c r="G20" s="26">
        <f t="shared" si="2"/>
      </c>
    </row>
    <row r="21" spans="1:7">
      <c r="A21" s="133">
        <f>IFERROR((LOOKUP(MATCH(B21,'00 ACC DETAILS 01'!$E$30:$E$112,0),'00 ACC DETAILS 01'!$A$30:$A$112,'00 ACC DETAILS 01'!$D$30:$D$112)),0)</f>
      </c>
      <c r="B21" t="s" s="27">
        <v>18</v>
      </c>
      <c r="C21" s="28">
        <f t="shared" si="3"/>
      </c>
      <c r="D21" s="23">
        <f t="shared" si="0"/>
      </c>
      <c r="E21" s="29">
        <f>E22+12</f>
      </c>
      <c r="F21" s="25">
        <f t="shared" si="1"/>
      </c>
      <c r="G21" s="26">
        <f t="shared" si="2"/>
      </c>
    </row>
    <row r="22" spans="1:7">
      <c r="A22" s="133">
        <f>IFERROR((LOOKUP(MATCH(B22,'00 ACC DETAILS 01'!$E$30:$E$112,0),'00 ACC DETAILS 01'!$A$30:$A$112,'00 ACC DETAILS 01'!$D$30:$D$112)),0)</f>
      </c>
      <c r="B22" t="s" s="27">
        <v>19</v>
      </c>
      <c r="C22" s="28">
        <f t="shared" si="3"/>
      </c>
      <c r="D22" s="23">
        <f t="shared" si="0"/>
      </c>
      <c r="E22" s="29">
        <f>E24+6</f>
      </c>
      <c r="F22" s="25">
        <f t="shared" si="1"/>
      </c>
      <c r="G22" s="26">
        <f t="shared" si="2"/>
      </c>
    </row>
    <row r="23" spans="1:7">
      <c r="A23" s="133">
        <f>IFERROR((LOOKUP(MATCH(B23,'00 ACC DETAILS 01'!$E$30:$E$112,0),'00 ACC DETAILS 01'!$A$30:$A$112,'00 ACC DETAILS 01'!$D$30:$D$112)),0)</f>
      </c>
      <c r="B23" t="s" s="27">
        <v>20</v>
      </c>
      <c r="C23" s="28">
        <f t="shared" si="3"/>
      </c>
      <c r="D23" s="23">
        <f t="shared" si="0"/>
      </c>
      <c r="E23" s="29">
        <f t="shared" ref="E23:E86" si="4">E24+6</f>
      </c>
      <c r="F23" s="25">
        <f t="shared" si="1"/>
      </c>
      <c r="G23" s="26">
        <f t="shared" si="2"/>
      </c>
    </row>
    <row r="24" spans="1:7">
      <c r="A24" s="133">
        <f>IFERROR((LOOKUP(MATCH(B24,'00 ACC DETAILS 01'!$E$30:$E$112,0),'00 ACC DETAILS 01'!$A$30:$A$112,'00 ACC DETAILS 01'!$D$30:$D$112)),0)</f>
      </c>
      <c r="B24" t="s" s="27">
        <v>21</v>
      </c>
      <c r="C24" s="28">
        <f t="shared" si="3"/>
      </c>
      <c r="D24" s="23">
        <f t="shared" si="0"/>
      </c>
      <c r="E24" s="29">
        <f t="shared" si="4"/>
      </c>
      <c r="F24" s="25">
        <f t="shared" si="1"/>
      </c>
      <c r="G24" s="26">
        <f t="shared" si="2"/>
      </c>
    </row>
    <row r="25" spans="1:7">
      <c r="A25" s="133">
        <f>IFERROR((LOOKUP(MATCH(B25,'00 ACC DETAILS 01'!$E$30:$E$112,0),'00 ACC DETAILS 01'!$A$30:$A$112,'00 ACC DETAILS 01'!$D$30:$D$112)),0)</f>
      </c>
      <c r="B25" t="s" s="30">
        <v>22</v>
      </c>
      <c r="C25" s="28">
        <f t="shared" si="3"/>
      </c>
      <c r="D25" s="23">
        <f t="shared" si="0"/>
      </c>
      <c r="E25" s="29">
        <f t="shared" si="4"/>
      </c>
      <c r="F25" s="25">
        <f t="shared" si="1"/>
      </c>
      <c r="G25" s="26">
        <f t="shared" si="2"/>
      </c>
    </row>
    <row r="26" spans="1:7">
      <c r="A26" s="133">
        <f>IFERROR((LOOKUP(MATCH(B26,'00 ACC DETAILS 01'!$E$30:$E$112,0),'00 ACC DETAILS 01'!$A$30:$A$112,'00 ACC DETAILS 01'!$D$30:$D$112)),0)</f>
      </c>
      <c r="B26" t="s" s="30">
        <v>23</v>
      </c>
      <c r="C26" s="28">
        <f t="shared" si="3"/>
      </c>
      <c r="D26" s="23">
        <f t="shared" si="0"/>
      </c>
      <c r="E26" s="29">
        <f t="shared" si="4"/>
      </c>
      <c r="F26" s="25">
        <f t="shared" si="1"/>
      </c>
      <c r="G26" s="26">
        <f t="shared" si="2"/>
      </c>
    </row>
    <row r="27" spans="1:7">
      <c r="A27" s="133">
        <f>IFERROR((LOOKUP(MATCH(B27,'00 ACC DETAILS 01'!$E$30:$E$112,0),'00 ACC DETAILS 01'!$A$30:$A$112,'00 ACC DETAILS 01'!$D$30:$D$112)),0)</f>
      </c>
      <c r="B27" t="s" s="30">
        <v>24</v>
      </c>
      <c r="C27" s="28">
        <f t="shared" si="3"/>
      </c>
      <c r="D27" s="23">
        <f t="shared" si="0"/>
      </c>
      <c r="E27" s="29">
        <f t="shared" si="4"/>
      </c>
      <c r="F27" s="25">
        <f t="shared" si="1"/>
      </c>
      <c r="G27" s="26">
        <f t="shared" si="2"/>
      </c>
    </row>
    <row r="28" spans="1:7">
      <c r="A28" s="133">
        <f>IFERROR((LOOKUP(MATCH(B28,'00 ACC DETAILS 01'!$E$30:$E$112,0),'00 ACC DETAILS 01'!$A$30:$A$112,'00 ACC DETAILS 01'!$D$30:$D$112)),0)</f>
      </c>
      <c r="B28" t="s" s="30">
        <v>25</v>
      </c>
      <c r="C28" s="28">
        <f t="shared" si="3"/>
      </c>
      <c r="D28" s="23">
        <f t="shared" si="0"/>
      </c>
      <c r="E28" s="29">
        <f t="shared" si="4"/>
      </c>
      <c r="F28" s="25">
        <f t="shared" si="1"/>
      </c>
      <c r="G28" s="26">
        <f t="shared" si="2"/>
      </c>
    </row>
    <row r="29" spans="1:7">
      <c r="A29" s="133">
        <f>IFERROR((LOOKUP(MATCH(B29,'00 ACC DETAILS 01'!$E$30:$E$112,0),'00 ACC DETAILS 01'!$A$30:$A$112,'00 ACC DETAILS 01'!$D$30:$D$112)),0)</f>
      </c>
      <c r="B29" t="s" s="30">
        <v>26</v>
      </c>
      <c r="C29" s="28">
        <f t="shared" si="3"/>
      </c>
      <c r="D29" s="23">
        <f t="shared" si="0"/>
      </c>
      <c r="E29" s="29">
        <f t="shared" si="4"/>
      </c>
      <c r="F29" s="25">
        <f t="shared" si="1"/>
      </c>
      <c r="G29" s="26">
        <f t="shared" si="2"/>
      </c>
    </row>
    <row r="30" spans="1:7">
      <c r="A30" s="133">
        <f>IFERROR((LOOKUP(MATCH(B30,'00 ACC DETAILS 01'!$E$30:$E$112,0),'00 ACC DETAILS 01'!$A$30:$A$112,'00 ACC DETAILS 01'!$D$30:$D$112)),0)</f>
      </c>
      <c r="B30" t="s" s="30">
        <v>27</v>
      </c>
      <c r="C30" s="28">
        <f t="shared" si="3"/>
      </c>
      <c r="D30" s="23">
        <f t="shared" si="0"/>
      </c>
      <c r="E30" s="29">
        <f t="shared" si="4"/>
      </c>
      <c r="F30" s="25">
        <f t="shared" si="1"/>
      </c>
      <c r="G30" s="26">
        <f t="shared" si="2"/>
      </c>
    </row>
    <row r="31" spans="1:7">
      <c r="A31" s="133">
        <f>IFERROR((LOOKUP(MATCH(B31,'00 ACC DETAILS 01'!$E$30:$E$112,0),'00 ACC DETAILS 01'!$A$30:$A$112,'00 ACC DETAILS 01'!$D$30:$D$112)),0)</f>
      </c>
      <c r="B31" t="s" s="30">
        <v>28</v>
      </c>
      <c r="C31" s="28">
        <f t="shared" si="3"/>
      </c>
      <c r="D31" s="23">
        <f t="shared" si="0"/>
      </c>
      <c r="E31" s="29">
        <f t="shared" si="4"/>
      </c>
      <c r="F31" s="25">
        <f t="shared" si="1"/>
      </c>
      <c r="G31" s="26">
        <f t="shared" si="2"/>
      </c>
    </row>
    <row r="32" spans="1:7">
      <c r="A32" s="133">
        <f>IFERROR((LOOKUP(MATCH(B32,'00 ACC DETAILS 01'!$E$30:$E$112,0),'00 ACC DETAILS 01'!$A$30:$A$112,'00 ACC DETAILS 01'!$D$30:$D$112)),0)</f>
      </c>
      <c r="B32" t="s" s="30">
        <v>29</v>
      </c>
      <c r="C32" s="28">
        <f t="shared" si="3"/>
      </c>
      <c r="D32" s="23">
        <f t="shared" si="0"/>
      </c>
      <c r="E32" s="29">
        <f t="shared" si="4"/>
      </c>
      <c r="F32" s="25">
        <f t="shared" si="1"/>
      </c>
      <c r="G32" s="26">
        <f t="shared" si="2"/>
      </c>
    </row>
    <row r="33" spans="1:7">
      <c r="A33" s="133">
        <f>IFERROR((LOOKUP(MATCH(B33,'00 ACC DETAILS 01'!$E$30:$E$112,0),'00 ACC DETAILS 01'!$A$30:$A$112,'00 ACC DETAILS 01'!$D$30:$D$112)),0)</f>
      </c>
      <c r="B33" t="s" s="30">
        <v>30</v>
      </c>
      <c r="C33" s="28">
        <f t="shared" si="3"/>
      </c>
      <c r="D33" s="23">
        <f t="shared" si="0"/>
      </c>
      <c r="E33" s="29">
        <f t="shared" si="4"/>
      </c>
      <c r="F33" s="25">
        <f t="shared" si="1"/>
      </c>
      <c r="G33" s="26">
        <f t="shared" si="2"/>
      </c>
    </row>
    <row r="34" spans="1:7">
      <c r="A34" s="133">
        <f>IFERROR((LOOKUP(MATCH(B34,'00 ACC DETAILS 01'!$E$30:$E$112,0),'00 ACC DETAILS 01'!$A$30:$A$112,'00 ACC DETAILS 01'!$D$30:$D$112)),0)</f>
      </c>
      <c r="B34" t="s" s="30">
        <v>31</v>
      </c>
      <c r="C34" s="28">
        <f t="shared" si="3"/>
      </c>
      <c r="D34" s="23">
        <f t="shared" si="0"/>
      </c>
      <c r="E34" s="29">
        <f t="shared" si="4"/>
      </c>
      <c r="F34" s="25">
        <f t="shared" si="1"/>
      </c>
      <c r="G34" s="26">
        <f t="shared" si="2"/>
      </c>
    </row>
    <row r="35" spans="1:7">
      <c r="A35" s="133">
        <f>IFERROR((LOOKUP(MATCH(B35,'00 ACC DETAILS 01'!$E$30:$E$112,0),'00 ACC DETAILS 01'!$A$30:$A$112,'00 ACC DETAILS 01'!$D$30:$D$112)),0)</f>
      </c>
      <c r="B35" t="s" s="30">
        <v>32</v>
      </c>
      <c r="C35" s="28">
        <f t="shared" si="3"/>
      </c>
      <c r="D35" s="23">
        <f t="shared" si="0"/>
      </c>
      <c r="E35" s="29">
        <f t="shared" si="4"/>
      </c>
      <c r="F35" s="25">
        <f t="shared" si="1"/>
      </c>
      <c r="G35" s="26">
        <f t="shared" si="2"/>
      </c>
    </row>
    <row r="36" spans="1:7">
      <c r="A36" s="133">
        <f>IFERROR((LOOKUP(MATCH(B36,'00 ACC DETAILS 01'!$E$30:$E$112,0),'00 ACC DETAILS 01'!$A$30:$A$112,'00 ACC DETAILS 01'!$D$30:$D$112)),0)</f>
      </c>
      <c r="B36" t="s" s="30">
        <v>33</v>
      </c>
      <c r="C36" s="28">
        <f t="shared" si="3"/>
      </c>
      <c r="D36" s="23">
        <f t="shared" si="0"/>
      </c>
      <c r="E36" s="29">
        <f t="shared" si="4"/>
      </c>
      <c r="F36" s="25">
        <f t="shared" si="1"/>
      </c>
      <c r="G36" s="26">
        <f t="shared" si="2"/>
      </c>
    </row>
    <row r="37" spans="1:7">
      <c r="A37" s="133">
        <f>IFERROR((LOOKUP(MATCH(B37,'00 ACC DETAILS 01'!$E$30:$E$112,0),'00 ACC DETAILS 01'!$A$30:$A$112,'00 ACC DETAILS 01'!$D$30:$D$112)),0)</f>
      </c>
      <c r="B37" t="s" s="30">
        <v>34</v>
      </c>
      <c r="C37" s="28">
        <f t="shared" si="3"/>
      </c>
      <c r="D37" s="23">
        <f t="shared" si="0"/>
      </c>
      <c r="E37" s="29">
        <f t="shared" si="4"/>
      </c>
      <c r="F37" s="25">
        <f t="shared" si="1"/>
      </c>
      <c r="G37" s="26">
        <f t="shared" si="2"/>
      </c>
    </row>
    <row r="38" spans="1:7">
      <c r="A38" s="133">
        <f>IFERROR((LOOKUP(MATCH(B38,'00 ACC DETAILS 01'!$E$30:$E$112,0),'00 ACC DETAILS 01'!$A$30:$A$112,'00 ACC DETAILS 01'!$D$30:$D$112)),0)</f>
      </c>
      <c r="B38" t="s" s="30">
        <v>35</v>
      </c>
      <c r="C38" s="28">
        <f t="shared" si="3"/>
      </c>
      <c r="D38" s="23">
        <f t="shared" si="0"/>
      </c>
      <c r="E38" s="29">
        <f t="shared" si="4"/>
      </c>
      <c r="F38" s="25">
        <f t="shared" si="1"/>
      </c>
      <c r="G38" s="26">
        <f t="shared" si="2"/>
      </c>
    </row>
    <row r="39" spans="1:7">
      <c r="A39" s="133">
        <f>IFERROR((LOOKUP(MATCH(B39,'00 ACC DETAILS 01'!$E$30:$E$112,0),'00 ACC DETAILS 01'!$A$30:$A$112,'00 ACC DETAILS 01'!$D$30:$D$112)),0)</f>
      </c>
      <c r="B39" t="s" s="30">
        <v>36</v>
      </c>
      <c r="C39" s="28">
        <f t="shared" si="3"/>
      </c>
      <c r="D39" s="23">
        <f t="shared" si="0"/>
      </c>
      <c r="E39" s="29">
        <f t="shared" si="4"/>
      </c>
      <c r="F39" s="25">
        <f t="shared" si="1"/>
      </c>
      <c r="G39" s="26">
        <f t="shared" si="2"/>
      </c>
    </row>
    <row r="40" spans="1:7">
      <c r="A40" s="133">
        <f>IFERROR((LOOKUP(MATCH(B40,'00 ACC DETAILS 01'!$E$30:$E$112,0),'00 ACC DETAILS 01'!$A$30:$A$112,'00 ACC DETAILS 01'!$D$30:$D$112)),0)</f>
      </c>
      <c r="B40" t="s" s="30">
        <v>37</v>
      </c>
      <c r="C40" s="28">
        <f t="shared" si="3"/>
      </c>
      <c r="D40" s="23">
        <f t="shared" si="0"/>
      </c>
      <c r="E40" s="29">
        <f t="shared" si="4"/>
      </c>
      <c r="F40" s="25">
        <f t="shared" si="1"/>
      </c>
      <c r="G40" s="26">
        <f t="shared" si="2"/>
      </c>
    </row>
    <row r="41" spans="1:7">
      <c r="A41" s="133">
        <f>IFERROR((LOOKUP(MATCH(B41,'00 ACC DETAILS 01'!$E$30:$E$112,0),'00 ACC DETAILS 01'!$A$30:$A$112,'00 ACC DETAILS 01'!$D$30:$D$112)),0)</f>
      </c>
      <c r="B41" t="s" s="30">
        <v>38</v>
      </c>
      <c r="C41" s="28">
        <f t="shared" si="3"/>
      </c>
      <c r="D41" s="23">
        <f t="shared" si="0"/>
      </c>
      <c r="E41" s="29">
        <f t="shared" si="4"/>
      </c>
      <c r="F41" s="25">
        <f t="shared" si="1"/>
      </c>
      <c r="G41" s="26">
        <f t="shared" si="2"/>
      </c>
    </row>
    <row r="42" spans="1:7">
      <c r="A42" s="133">
        <f>IFERROR((LOOKUP(MATCH(B42,'00 ACC DETAILS 01'!$E$30:$E$112,0),'00 ACC DETAILS 01'!$A$30:$A$112,'00 ACC DETAILS 01'!$D$30:$D$112)),0)</f>
      </c>
      <c r="B42" t="s" s="30">
        <v>39</v>
      </c>
      <c r="C42" s="28">
        <f t="shared" si="3"/>
      </c>
      <c r="D42" s="23">
        <f t="shared" si="0"/>
      </c>
      <c r="E42" s="29">
        <f t="shared" si="4"/>
      </c>
      <c r="F42" s="25">
        <f t="shared" si="1"/>
      </c>
      <c r="G42" s="26">
        <f t="shared" si="2"/>
      </c>
    </row>
    <row r="43" spans="1:7">
      <c r="A43" s="133">
        <f>IFERROR((LOOKUP(MATCH(B43,'00 ACC DETAILS 01'!$E$30:$E$112,0),'00 ACC DETAILS 01'!$A$30:$A$112,'00 ACC DETAILS 01'!$D$30:$D$112)),0)</f>
      </c>
      <c r="B43" t="s" s="30">
        <v>40</v>
      </c>
      <c r="C43" s="28">
        <f t="shared" si="3"/>
      </c>
      <c r="D43" s="23">
        <f t="shared" si="0"/>
      </c>
      <c r="E43" s="29">
        <f t="shared" si="4"/>
      </c>
      <c r="F43" s="25">
        <f t="shared" si="1"/>
      </c>
      <c r="G43" s="26">
        <f t="shared" si="2"/>
      </c>
    </row>
    <row r="44" spans="1:7">
      <c r="A44" s="133">
        <f>IFERROR((LOOKUP(MATCH(B44,'00 ACC DETAILS 01'!$E$30:$E$112,0),'00 ACC DETAILS 01'!$A$30:$A$112,'00 ACC DETAILS 01'!$D$30:$D$112)),0)</f>
      </c>
      <c r="B44" t="s" s="30">
        <v>41</v>
      </c>
      <c r="C44" s="28">
        <f t="shared" si="3"/>
      </c>
      <c r="D44" s="23">
        <f t="shared" si="0"/>
      </c>
      <c r="E44" s="29">
        <f t="shared" si="4"/>
      </c>
      <c r="F44" s="25">
        <f t="shared" si="1"/>
      </c>
      <c r="G44" s="26">
        <f t="shared" si="2"/>
      </c>
    </row>
    <row r="45" spans="1:7">
      <c r="A45" s="133">
        <f>IFERROR((LOOKUP(MATCH(B45,'00 ACC DETAILS 01'!$E$30:$E$112,0),'00 ACC DETAILS 01'!$A$30:$A$112,'00 ACC DETAILS 01'!$D$30:$D$112)),0)</f>
      </c>
      <c r="B45" t="s" s="30">
        <v>42</v>
      </c>
      <c r="C45" s="28">
        <f t="shared" si="3"/>
      </c>
      <c r="D45" s="23">
        <f t="shared" si="0"/>
      </c>
      <c r="E45" s="29">
        <f t="shared" si="4"/>
      </c>
      <c r="F45" s="25">
        <f t="shared" si="1"/>
      </c>
      <c r="G45" s="26">
        <f t="shared" si="2"/>
      </c>
    </row>
    <row r="46" spans="1:7">
      <c r="A46" s="133">
        <f>IFERROR((LOOKUP(MATCH(B46,'00 ACC DETAILS 01'!$E$30:$E$112,0),'00 ACC DETAILS 01'!$A$30:$A$112,'00 ACC DETAILS 01'!$D$30:$D$112)),0)</f>
      </c>
      <c r="B46" t="s" s="30">
        <v>43</v>
      </c>
      <c r="C46" s="28">
        <f t="shared" si="3"/>
      </c>
      <c r="D46" s="23">
        <f t="shared" si="0"/>
      </c>
      <c r="E46" s="29">
        <f t="shared" si="4"/>
      </c>
      <c r="F46" s="25">
        <f t="shared" si="1"/>
      </c>
      <c r="G46" s="26">
        <f t="shared" si="2"/>
      </c>
    </row>
    <row r="47" spans="1:7">
      <c r="A47" s="133">
        <f>IFERROR((LOOKUP(MATCH(B47,'00 ACC DETAILS 01'!$E$30:$E$112,0),'00 ACC DETAILS 01'!$A$30:$A$112,'00 ACC DETAILS 01'!$D$30:$D$112)),0)</f>
      </c>
      <c r="B47" t="s" s="30">
        <v>44</v>
      </c>
      <c r="C47" s="28">
        <f t="shared" si="3"/>
      </c>
      <c r="D47" s="23">
        <f t="shared" si="0"/>
      </c>
      <c r="E47" s="29">
        <f t="shared" si="4"/>
      </c>
      <c r="F47" s="25">
        <f t="shared" si="1"/>
      </c>
      <c r="G47" s="26">
        <f t="shared" si="2"/>
      </c>
    </row>
    <row r="48" spans="1:7">
      <c r="A48" s="133">
        <f>IFERROR((LOOKUP(MATCH(B48,'00 ACC DETAILS 01'!$E$30:$E$112,0),'00 ACC DETAILS 01'!$A$30:$A$112,'00 ACC DETAILS 01'!$D$30:$D$112)),0)</f>
      </c>
      <c r="B48" t="s" s="30">
        <v>45</v>
      </c>
      <c r="C48" s="28">
        <f t="shared" si="3"/>
      </c>
      <c r="D48" s="23">
        <f t="shared" si="0"/>
      </c>
      <c r="E48" s="29">
        <f t="shared" si="4"/>
      </c>
      <c r="F48" s="25">
        <f t="shared" si="1"/>
      </c>
      <c r="G48" s="26">
        <f t="shared" si="2"/>
      </c>
    </row>
    <row r="49" spans="1:7">
      <c r="A49" s="133">
        <f>IFERROR((LOOKUP(MATCH(B49,'00 ACC DETAILS 01'!$E$30:$E$112,0),'00 ACC DETAILS 01'!$A$30:$A$112,'00 ACC DETAILS 01'!$D$30:$D$112)),0)</f>
      </c>
      <c r="B49" t="s" s="30">
        <v>46</v>
      </c>
      <c r="C49" s="28">
        <f t="shared" si="3"/>
      </c>
      <c r="D49" s="23">
        <f t="shared" si="0"/>
      </c>
      <c r="E49" s="29">
        <f t="shared" si="4"/>
      </c>
      <c r="F49" s="25">
        <f t="shared" si="1"/>
      </c>
      <c r="G49" s="26">
        <f t="shared" si="2"/>
      </c>
    </row>
    <row r="50" spans="1:7">
      <c r="A50" s="133">
        <f>IFERROR((LOOKUP(MATCH(B50,'00 ACC DETAILS 01'!$E$30:$E$112,0),'00 ACC DETAILS 01'!$A$30:$A$112,'00 ACC DETAILS 01'!$D$30:$D$112)),0)</f>
      </c>
      <c r="B50" t="s" s="30">
        <v>47</v>
      </c>
      <c r="C50" s="28">
        <f t="shared" si="3"/>
      </c>
      <c r="D50" s="23">
        <f t="shared" si="0"/>
      </c>
      <c r="E50" s="29">
        <f t="shared" si="4"/>
      </c>
      <c r="F50" s="25">
        <f t="shared" si="1"/>
      </c>
      <c r="G50" s="26">
        <f t="shared" si="2"/>
      </c>
    </row>
    <row r="51" spans="1:7">
      <c r="A51" s="133">
        <f>IFERROR((LOOKUP(MATCH(B51,'00 ACC DETAILS 01'!$E$30:$E$112,0),'00 ACC DETAILS 01'!$A$30:$A$112,'00 ACC DETAILS 01'!$D$30:$D$112)),0)</f>
      </c>
      <c r="B51" t="s" s="30">
        <v>48</v>
      </c>
      <c r="C51" s="28">
        <f t="shared" si="3"/>
      </c>
      <c r="D51" s="23">
        <f t="shared" si="0"/>
      </c>
      <c r="E51" s="29">
        <f t="shared" si="4"/>
      </c>
      <c r="F51" s="25">
        <f t="shared" si="1"/>
      </c>
      <c r="G51" s="26">
        <f t="shared" si="2"/>
      </c>
    </row>
    <row r="52" spans="1:7">
      <c r="A52" s="133">
        <f>IFERROR((LOOKUP(MATCH(B52,'00 ACC DETAILS 01'!$E$30:$E$112,0),'00 ACC DETAILS 01'!$A$30:$A$112,'00 ACC DETAILS 01'!$D$30:$D$112)),0)</f>
      </c>
      <c r="B52" t="s" s="30">
        <v>49</v>
      </c>
      <c r="C52" s="28">
        <f t="shared" si="3"/>
      </c>
      <c r="D52" s="23">
        <f t="shared" si="0"/>
      </c>
      <c r="E52" s="29">
        <f t="shared" si="4"/>
      </c>
      <c r="F52" s="25">
        <f t="shared" si="1"/>
      </c>
      <c r="G52" s="26">
        <f t="shared" si="2"/>
      </c>
    </row>
    <row r="53" spans="1:7">
      <c r="A53" s="133">
        <f>IFERROR((LOOKUP(MATCH(B53,'00 ACC DETAILS 01'!$E$30:$E$112,0),'00 ACC DETAILS 01'!$A$30:$A$112,'00 ACC DETAILS 01'!$D$30:$D$112)),0)</f>
      </c>
      <c r="B53" t="s" s="30">
        <v>50</v>
      </c>
      <c r="C53" s="28">
        <f t="shared" si="3"/>
      </c>
      <c r="D53" s="23">
        <f t="shared" si="0"/>
      </c>
      <c r="E53" s="29">
        <f t="shared" si="4"/>
      </c>
      <c r="F53" s="25">
        <f t="shared" si="1"/>
      </c>
      <c r="G53" s="26">
        <f t="shared" si="2"/>
      </c>
    </row>
    <row r="54" spans="1:7">
      <c r="A54" s="133">
        <f>IFERROR((LOOKUP(MATCH(B54,'00 ACC DETAILS 01'!$E$30:$E$112,0),'00 ACC DETAILS 01'!$A$30:$A$112,'00 ACC DETAILS 01'!$D$30:$D$112)),0)</f>
      </c>
      <c r="B54" t="s" s="30">
        <v>51</v>
      </c>
      <c r="C54" s="28">
        <f t="shared" si="3"/>
      </c>
      <c r="D54" s="23">
        <f t="shared" si="0"/>
      </c>
      <c r="E54" s="29">
        <f t="shared" si="4"/>
      </c>
      <c r="F54" s="25">
        <f t="shared" si="1"/>
      </c>
      <c r="G54" s="26">
        <f t="shared" si="2"/>
      </c>
    </row>
    <row r="55" spans="1:7">
      <c r="A55" s="133">
        <f>IFERROR((LOOKUP(MATCH(B55,'00 ACC DETAILS 01'!$E$30:$E$112,0),'00 ACC DETAILS 01'!$A$30:$A$112,'00 ACC DETAILS 01'!$D$30:$D$112)),0)</f>
      </c>
      <c r="B55" t="s" s="30">
        <v>52</v>
      </c>
      <c r="C55" s="28">
        <f t="shared" si="3"/>
      </c>
      <c r="D55" s="23">
        <f t="shared" si="0"/>
      </c>
      <c r="E55" s="29">
        <f t="shared" si="4"/>
      </c>
      <c r="F55" s="25">
        <f t="shared" si="1"/>
      </c>
      <c r="G55" s="26">
        <f t="shared" si="2"/>
      </c>
    </row>
    <row r="56" spans="1:7">
      <c r="A56" s="133">
        <f>IFERROR((LOOKUP(MATCH(B56,'00 ACC DETAILS 01'!$E$30:$E$112,0),'00 ACC DETAILS 01'!$A$30:$A$112,'00 ACC DETAILS 01'!$D$30:$D$112)),0)</f>
      </c>
      <c r="B56" t="s" s="30">
        <v>53</v>
      </c>
      <c r="C56" s="28">
        <f t="shared" si="3"/>
      </c>
      <c r="D56" s="23">
        <f t="shared" si="0"/>
      </c>
      <c r="E56" s="29">
        <f t="shared" si="4"/>
      </c>
      <c r="F56" s="25">
        <f t="shared" si="1"/>
      </c>
      <c r="G56" s="26">
        <f t="shared" si="2"/>
      </c>
    </row>
    <row r="57" spans="1:7">
      <c r="A57" s="133">
        <f>IFERROR((LOOKUP(MATCH(B57,'00 ACC DETAILS 01'!$E$30:$E$112,0),'00 ACC DETAILS 01'!$A$30:$A$112,'00 ACC DETAILS 01'!$D$30:$D$112)),0)</f>
      </c>
      <c r="B57" t="s" s="30">
        <v>54</v>
      </c>
      <c r="C57" s="28">
        <f t="shared" si="3"/>
      </c>
      <c r="D57" s="23">
        <f t="shared" si="0"/>
      </c>
      <c r="E57" s="29">
        <f t="shared" si="4"/>
      </c>
      <c r="F57" s="25">
        <f t="shared" si="1"/>
      </c>
      <c r="G57" s="26">
        <f t="shared" si="2"/>
      </c>
    </row>
    <row r="58" spans="1:7">
      <c r="A58" s="133">
        <f>IFERROR((LOOKUP(MATCH(B58,'00 ACC DETAILS 01'!$E$30:$E$112,0),'00 ACC DETAILS 01'!$A$30:$A$112,'00 ACC DETAILS 01'!$D$30:$D$112)),0)</f>
      </c>
      <c r="B58" t="s" s="30">
        <v>55</v>
      </c>
      <c r="C58" s="28">
        <f t="shared" si="3"/>
      </c>
      <c r="D58" s="23">
        <f t="shared" si="0"/>
      </c>
      <c r="E58" s="29">
        <f t="shared" si="4"/>
      </c>
      <c r="F58" s="25">
        <f t="shared" si="1"/>
      </c>
      <c r="G58" s="26">
        <f t="shared" si="2"/>
      </c>
    </row>
    <row r="59" spans="1:7">
      <c r="A59" s="133">
        <f>IFERROR((LOOKUP(MATCH(B59,'00 ACC DETAILS 01'!$E$30:$E$112,0),'00 ACC DETAILS 01'!$A$30:$A$112,'00 ACC DETAILS 01'!$D$30:$D$112)),0)</f>
      </c>
      <c r="B59" t="s" s="30">
        <v>56</v>
      </c>
      <c r="C59" s="28">
        <f t="shared" si="3"/>
      </c>
      <c r="D59" s="23">
        <f t="shared" si="0"/>
      </c>
      <c r="E59" s="29">
        <f t="shared" si="4"/>
      </c>
      <c r="F59" s="25">
        <f t="shared" si="1"/>
      </c>
      <c r="G59" s="26">
        <f t="shared" si="2"/>
      </c>
    </row>
    <row r="60" spans="1:7">
      <c r="A60" s="133">
        <f>IFERROR((LOOKUP(MATCH(B60,'00 ACC DETAILS 01'!$E$30:$E$112,0),'00 ACC DETAILS 01'!$A$30:$A$112,'00 ACC DETAILS 01'!$D$30:$D$112)),0)</f>
      </c>
      <c r="B60" t="s" s="30">
        <v>57</v>
      </c>
      <c r="C60" s="28">
        <f t="shared" si="3"/>
      </c>
      <c r="D60" s="23">
        <f t="shared" si="0"/>
      </c>
      <c r="E60" s="29">
        <f t="shared" si="4"/>
      </c>
      <c r="F60" s="25">
        <f t="shared" si="1"/>
      </c>
      <c r="G60" s="26">
        <f t="shared" si="2"/>
      </c>
    </row>
    <row r="61" spans="1:7">
      <c r="A61" s="133">
        <f>IFERROR((LOOKUP(MATCH(B61,'00 ACC DETAILS 01'!$E$30:$E$112,0),'00 ACC DETAILS 01'!$A$30:$A$112,'00 ACC DETAILS 01'!$D$30:$D$112)),0)</f>
      </c>
      <c r="B61" t="s" s="30">
        <v>58</v>
      </c>
      <c r="C61" s="28">
        <f t="shared" si="3"/>
      </c>
      <c r="D61" s="23">
        <f t="shared" si="0"/>
      </c>
      <c r="E61" s="29">
        <f t="shared" si="4"/>
      </c>
      <c r="F61" s="25">
        <f t="shared" si="1"/>
      </c>
      <c r="G61" s="26">
        <f t="shared" si="2"/>
      </c>
    </row>
    <row r="62" spans="1:7">
      <c r="A62" s="133">
        <f>IFERROR((LOOKUP(MATCH(B62,'00 ACC DETAILS 01'!$E$30:$E$112,0),'00 ACC DETAILS 01'!$A$30:$A$112,'00 ACC DETAILS 01'!$D$30:$D$112)),0)</f>
      </c>
      <c r="B62" t="s" s="30">
        <v>59</v>
      </c>
      <c r="C62" s="28">
        <v>0</v>
      </c>
      <c r="D62" s="23">
        <f t="shared" si="0"/>
      </c>
      <c r="E62" s="29">
        <f t="shared" si="4"/>
      </c>
      <c r="F62" s="25">
        <f t="shared" si="1"/>
      </c>
      <c r="G62" s="26">
        <f t="shared" si="2"/>
      </c>
    </row>
    <row r="63" spans="1:7">
      <c r="A63" s="133">
        <f>IFERROR((LOOKUP(MATCH(B63,'00 ACC DETAILS 01'!$E$30:$E$112,0),'00 ACC DETAILS 01'!$A$30:$A$112,'00 ACC DETAILS 01'!$D$30:$D$112)),0)</f>
      </c>
      <c r="B63" t="s" s="30">
        <v>60</v>
      </c>
      <c r="C63" s="28">
        <v>400</v>
      </c>
      <c r="D63" s="23">
        <f t="shared" si="0"/>
      </c>
      <c r="E63" s="29">
        <f t="shared" si="4"/>
      </c>
      <c r="F63" s="25">
        <f t="shared" si="1"/>
      </c>
      <c r="G63" s="26">
        <f t="shared" si="2"/>
      </c>
    </row>
    <row r="64" spans="1:7">
      <c r="A64" s="133">
        <f>IFERROR((LOOKUP(MATCH(B64,'00 ACC DETAILS 01'!$E$30:$E$112,0),'00 ACC DETAILS 01'!$A$30:$A$112,'00 ACC DETAILS 01'!$D$30:$D$112)),0)</f>
      </c>
      <c r="B64" t="s" s="30">
        <v>61</v>
      </c>
      <c r="C64" s="28">
        <v>600</v>
      </c>
      <c r="D64" s="23">
        <f t="shared" si="0"/>
      </c>
      <c r="E64" s="29">
        <f t="shared" si="4"/>
      </c>
      <c r="F64" s="25">
        <f t="shared" si="1"/>
      </c>
      <c r="G64" s="26">
        <f t="shared" si="2"/>
      </c>
    </row>
    <row r="65" spans="1:7">
      <c r="A65" s="133">
        <f>IFERROR((LOOKUP(MATCH(B65,'00 ACC DETAILS 01'!$E$30:$E$112,0),'00 ACC DETAILS 01'!$A$30:$A$112,'00 ACC DETAILS 01'!$D$30:$D$112)),0)</f>
      </c>
      <c r="B65" t="s" s="30">
        <v>62</v>
      </c>
      <c r="C65" s="28">
        <v>450</v>
      </c>
      <c r="D65" s="23">
        <f t="shared" si="0"/>
      </c>
      <c r="E65" s="29">
        <f t="shared" si="4"/>
      </c>
      <c r="F65" s="25">
        <f t="shared" si="1"/>
      </c>
      <c r="G65" s="26">
        <f t="shared" si="2"/>
      </c>
    </row>
    <row r="66" spans="1:7">
      <c r="A66" s="133">
        <f>IFERROR((LOOKUP(MATCH(B66,'00 ACC DETAILS 01'!$E$30:$E$112,0),'00 ACC DETAILS 01'!$A$30:$A$112,'00 ACC DETAILS 01'!$D$30:$D$112)),0)</f>
      </c>
      <c r="B66" t="s" s="30">
        <v>63</v>
      </c>
      <c r="C66" s="28">
        <v>750</v>
      </c>
      <c r="D66" s="23">
        <f t="shared" si="0"/>
      </c>
      <c r="E66" s="29">
        <f t="shared" si="4"/>
      </c>
      <c r="F66" s="25">
        <f t="shared" si="1"/>
      </c>
      <c r="G66" s="26">
        <f t="shared" si="2"/>
      </c>
    </row>
    <row r="67" spans="1:7">
      <c r="A67" s="133">
        <f>IFERROR((LOOKUP(MATCH(B67,'00 ACC DETAILS 01'!$E$30:$E$112,0),'00 ACC DETAILS 01'!$A$30:$A$112,'00 ACC DETAILS 01'!$D$30:$D$112)),0)</f>
      </c>
      <c r="B67" t="s" s="30">
        <v>64</v>
      </c>
      <c r="C67" s="28">
        <f>C65</f>
      </c>
      <c r="D67" s="23">
        <f t="shared" si="0"/>
      </c>
      <c r="E67" s="29">
        <f t="shared" si="4"/>
      </c>
      <c r="F67" s="25">
        <f t="shared" si="1"/>
      </c>
      <c r="G67" s="26">
        <f t="shared" si="2"/>
      </c>
    </row>
    <row r="68" spans="1:7">
      <c r="A68" s="133">
        <f>IFERROR((LOOKUP(MATCH(B68,'00 ACC DETAILS 01'!$E$30:$E$112,0),'00 ACC DETAILS 01'!$A$30:$A$112,'00 ACC DETAILS 01'!$D$30:$D$112)),0)</f>
      </c>
      <c r="B68" t="s" s="30">
        <v>65</v>
      </c>
      <c r="C68" s="28">
        <f>C66</f>
      </c>
      <c r="D68" s="23">
        <f t="shared" si="0"/>
      </c>
      <c r="E68" s="29">
        <f t="shared" si="4"/>
      </c>
      <c r="F68" s="25">
        <f t="shared" si="1"/>
      </c>
      <c r="G68" s="26">
        <f t="shared" si="2"/>
      </c>
    </row>
    <row r="69" spans="1:7">
      <c r="A69" s="133">
        <f>IFERROR((LOOKUP(MATCH(B69,'00 ACC DETAILS 01'!$E$30:$E$112,0),'00 ACC DETAILS 01'!$A$30:$A$112,'00 ACC DETAILS 01'!$D$30:$D$112)),0)</f>
      </c>
      <c r="B69" t="s" s="30">
        <v>66</v>
      </c>
      <c r="C69" s="28">
        <f>C61</f>
      </c>
      <c r="D69" s="23">
        <f t="shared" si="0"/>
      </c>
      <c r="E69" s="29">
        <f t="shared" si="4"/>
      </c>
      <c r="F69" s="25">
        <f t="shared" si="1"/>
      </c>
      <c r="G69" s="26">
        <f t="shared" si="2"/>
      </c>
    </row>
    <row r="70" spans="1:7">
      <c r="A70" s="133">
        <f>IFERROR((LOOKUP(MATCH(B70,'00 ACC DETAILS 01'!$E$30:$E$112,0),'00 ACC DETAILS 01'!$A$30:$A$112,'00 ACC DETAILS 01'!$D$30:$D$112)),0)</f>
      </c>
      <c r="B70" t="s" s="30">
        <v>67</v>
      </c>
      <c r="C70" s="28">
        <f>C60</f>
      </c>
      <c r="D70" s="23">
        <f t="shared" si="0"/>
      </c>
      <c r="E70" s="29">
        <f t="shared" si="4"/>
      </c>
      <c r="F70" s="25">
        <f t="shared" si="1"/>
      </c>
      <c r="G70" s="26">
        <f t="shared" si="2"/>
      </c>
    </row>
    <row r="71" spans="1:7">
      <c r="A71" s="133">
        <f>IFERROR((LOOKUP(MATCH(B71,'00 ACC DETAILS 01'!$E$30:$E$112,0),'00 ACC DETAILS 01'!$A$30:$A$112,'00 ACC DETAILS 01'!$D$30:$D$112)),0)</f>
      </c>
      <c r="B71" t="s" s="30">
        <v>68</v>
      </c>
      <c r="C71" s="28">
        <f t="shared" ref="C71:C83" si="5">C69</f>
      </c>
      <c r="D71" s="23">
        <f t="shared" si="0"/>
      </c>
      <c r="E71" s="29">
        <f t="shared" si="4"/>
      </c>
      <c r="F71" s="25">
        <f t="shared" si="1"/>
      </c>
      <c r="G71" s="26">
        <f t="shared" si="2"/>
      </c>
    </row>
    <row r="72" spans="1:7">
      <c r="A72" s="133">
        <f>IFERROR((LOOKUP(MATCH(B72,'00 ACC DETAILS 01'!$E$30:$E$112,0),'00 ACC DETAILS 01'!$A$30:$A$112,'00 ACC DETAILS 01'!$D$30:$D$112)),0)</f>
      </c>
      <c r="B72" t="s" s="30">
        <v>69</v>
      </c>
      <c r="C72" s="28">
        <f t="shared" si="5"/>
      </c>
      <c r="D72" s="23">
        <f t="shared" si="0"/>
      </c>
      <c r="E72" s="29">
        <f t="shared" si="4"/>
      </c>
      <c r="F72" s="25">
        <f t="shared" si="1"/>
      </c>
      <c r="G72" s="26">
        <f t="shared" si="2"/>
      </c>
    </row>
    <row r="73" spans="1:7">
      <c r="A73" s="133">
        <f>IFERROR((LOOKUP(MATCH(B73,'00 ACC DETAILS 01'!$E$30:$E$112,0),'00 ACC DETAILS 01'!$A$30:$A$112,'00 ACC DETAILS 01'!$D$30:$D$112)),0)</f>
      </c>
      <c r="B73" t="s" s="30">
        <v>70</v>
      </c>
      <c r="C73" s="28">
        <f t="shared" si="5"/>
      </c>
      <c r="D73" s="23">
        <f t="shared" si="0"/>
      </c>
      <c r="E73" s="29">
        <f t="shared" si="4"/>
      </c>
      <c r="F73" s="25">
        <f t="shared" si="1"/>
      </c>
      <c r="G73" s="26">
        <f t="shared" si="2"/>
      </c>
    </row>
    <row r="74" spans="1:7">
      <c r="A74" s="133">
        <f>IFERROR((LOOKUP(MATCH(B74,'00 ACC DETAILS 01'!$E$30:$E$112,0),'00 ACC DETAILS 01'!$A$30:$A$112,'00 ACC DETAILS 01'!$D$30:$D$112)),0)</f>
      </c>
      <c r="B74" t="s" s="30">
        <v>71</v>
      </c>
      <c r="C74" s="28">
        <f t="shared" si="5"/>
      </c>
      <c r="D74" s="23">
        <f t="shared" si="0"/>
      </c>
      <c r="E74" s="29">
        <f t="shared" si="4"/>
      </c>
      <c r="F74" s="25">
        <f t="shared" si="1"/>
      </c>
      <c r="G74" s="26">
        <f t="shared" si="2"/>
      </c>
    </row>
    <row r="75" spans="1:7">
      <c r="A75" s="133">
        <f>IFERROR((LOOKUP(MATCH(B75,'00 ACC DETAILS 01'!$E$30:$E$112,0),'00 ACC DETAILS 01'!$A$30:$A$112,'00 ACC DETAILS 01'!$D$30:$D$112)),0)</f>
      </c>
      <c r="B75" t="s" s="30">
        <v>72</v>
      </c>
      <c r="C75" s="28">
        <f t="shared" si="5"/>
      </c>
      <c r="D75" s="23">
        <f t="shared" si="0"/>
      </c>
      <c r="E75" s="31">
        <f t="shared" si="4"/>
      </c>
      <c r="F75" s="25">
        <f t="shared" si="1"/>
      </c>
      <c r="G75" s="26">
        <f t="shared" si="2"/>
      </c>
    </row>
    <row r="76" spans="1:7">
      <c r="A76" s="133">
        <f>IFERROR((LOOKUP(MATCH(B76,'00 ACC DETAILS 01'!$E$30:$E$112,0),'00 ACC DETAILS 01'!$A$30:$A$112,'00 ACC DETAILS 01'!$D$30:$D$112)),0)</f>
      </c>
      <c r="B76" t="s" s="30">
        <v>73</v>
      </c>
      <c r="C76" s="28">
        <f t="shared" si="5"/>
      </c>
      <c r="D76" s="23">
        <f t="shared" si="0"/>
      </c>
      <c r="E76" s="29">
        <f t="shared" si="4"/>
      </c>
      <c r="F76" s="25">
        <f t="shared" si="1"/>
      </c>
      <c r="G76" s="26">
        <f t="shared" si="2"/>
      </c>
    </row>
    <row r="77" spans="1:7">
      <c r="A77" s="133">
        <f>IFERROR((LOOKUP(MATCH(B77,'00 ACC DETAILS 01'!$E$30:$E$112,0),'00 ACC DETAILS 01'!$A$30:$A$112,'00 ACC DETAILS 01'!$D$30:$D$112)),0)</f>
      </c>
      <c r="B77" t="s" s="30">
        <v>74</v>
      </c>
      <c r="C77" s="28">
        <f>C75</f>
      </c>
      <c r="D77" s="23">
        <f>A77*C77</f>
      </c>
      <c r="E77" s="31">
        <f t="shared" si="4"/>
      </c>
      <c r="F77" s="25">
        <f t="shared" si="1"/>
      </c>
      <c r="G77" s="26">
        <f t="shared" si="2"/>
      </c>
    </row>
    <row r="78" spans="1:7">
      <c r="A78" s="133">
        <f>IFERROR((LOOKUP(MATCH(B78,'00 ACC DETAILS 01'!$E$30:$E$112,0),'00 ACC DETAILS 01'!$A$30:$A$112,'00 ACC DETAILS 01'!$D$30:$D$112)),0)</f>
      </c>
      <c r="B78" t="s" s="30">
        <v>75</v>
      </c>
      <c r="C78" s="28">
        <f t="shared" si="5"/>
      </c>
      <c r="D78" s="23">
        <f t="shared" si="0"/>
      </c>
      <c r="E78" s="31">
        <f t="shared" si="4"/>
      </c>
      <c r="F78" s="25">
        <f t="shared" si="1"/>
      </c>
      <c r="G78" s="26">
        <f t="shared" si="2"/>
      </c>
    </row>
    <row r="79" spans="1:7">
      <c r="A79" s="133">
        <f>IFERROR((LOOKUP(MATCH(B79,'00 ACC DETAILS 01'!$E$30:$E$112,0),'00 ACC DETAILS 01'!$A$30:$A$112,'00 ACC DETAILS 01'!$D$30:$D$112)),0)</f>
      </c>
      <c r="B79" t="s" s="30">
        <v>76</v>
      </c>
      <c r="C79" s="28">
        <f t="shared" si="5"/>
      </c>
      <c r="D79" s="23">
        <f t="shared" si="0"/>
      </c>
      <c r="E79" s="31">
        <f t="shared" si="4"/>
      </c>
      <c r="F79" s="25">
        <f t="shared" si="1"/>
      </c>
      <c r="G79" s="26">
        <f t="shared" si="2"/>
      </c>
    </row>
    <row r="80" spans="1:7">
      <c r="A80" s="133">
        <f>IFERROR((LOOKUP(MATCH(B80,'00 ACC DETAILS 01'!$E$30:$E$112,0),'00 ACC DETAILS 01'!$A$30:$A$112,'00 ACC DETAILS 01'!$D$30:$D$112)),0)</f>
      </c>
      <c r="B80" t="s" s="30">
        <v>77</v>
      </c>
      <c r="C80" s="28">
        <f t="shared" si="5"/>
      </c>
      <c r="D80" s="23">
        <f t="shared" si="0"/>
      </c>
      <c r="E80" s="31">
        <f t="shared" si="4"/>
      </c>
      <c r="F80" s="25">
        <f t="shared" si="1"/>
      </c>
      <c r="G80" s="26">
        <f t="shared" si="2"/>
      </c>
    </row>
    <row r="81" spans="1:7">
      <c r="A81" s="133">
        <f>IFERROR((LOOKUP(MATCH(B81,'00 ACC DETAILS 01'!$E$30:$E$112,0),'00 ACC DETAILS 01'!$A$30:$A$112,'00 ACC DETAILS 01'!$D$30:$D$112)),0)</f>
      </c>
      <c r="B81" t="s" s="32">
        <v>78</v>
      </c>
      <c r="C81" s="33">
        <f t="shared" si="5"/>
      </c>
      <c r="D81" s="23">
        <f t="shared" ref="D81:D99" si="6">A81*C81</f>
      </c>
      <c r="E81" s="31">
        <f t="shared" si="4"/>
      </c>
      <c r="F81" s="25">
        <f t="shared" ref="F81:F99" si="7">D81*E81/100</f>
      </c>
      <c r="G81" s="26">
        <f t="shared" ref="G81:G99" si="8">D81+F81</f>
      </c>
    </row>
    <row r="82" spans="1:7">
      <c r="A82" s="133">
        <f>IFERROR((LOOKUP(MATCH(B82,'00 ACC DETAILS 01'!$E$30:$E$112,0),'00 ACC DETAILS 01'!$A$30:$A$112,'00 ACC DETAILS 01'!$D$30:$D$112)),0)</f>
      </c>
      <c r="B82" t="s" s="34">
        <v>79</v>
      </c>
      <c r="C82" s="35">
        <f t="shared" si="5"/>
      </c>
      <c r="D82" s="23">
        <f t="shared" si="6"/>
      </c>
      <c r="E82" s="31">
        <f t="shared" si="4"/>
      </c>
      <c r="F82" s="25">
        <f t="shared" si="7"/>
      </c>
      <c r="G82" s="26">
        <f t="shared" si="8"/>
      </c>
    </row>
    <row r="83" spans="1:7">
      <c r="A83" s="133">
        <f>IFERROR((LOOKUP(MATCH(B83,'00 ACC DETAILS 01'!$E$30:$E$112,0),'00 ACC DETAILS 01'!$A$30:$A$112,'00 ACC DETAILS 01'!$D$30:$D$112)),0)</f>
      </c>
      <c r="B83" t="s" s="34">
        <v>80</v>
      </c>
      <c r="C83" s="35">
        <f t="shared" si="5"/>
      </c>
      <c r="D83" s="23">
        <f t="shared" si="6"/>
      </c>
      <c r="E83" s="31">
        <f t="shared" si="4"/>
      </c>
      <c r="F83" s="25">
        <f t="shared" si="7"/>
      </c>
      <c r="G83" s="26">
        <f t="shared" si="8"/>
      </c>
    </row>
    <row r="84" spans="1:7">
      <c r="A84" s="133">
        <f>IFERROR((LOOKUP(MATCH(B84,'00 ACC DETAILS 01'!$E$30:$E$112,0),'00 ACC DETAILS 01'!$A$30:$A$112,'00 ACC DETAILS 01'!$D$30:$D$112)),0)</f>
      </c>
      <c r="B84" t="s" s="34">
        <v>81</v>
      </c>
      <c r="C84" s="35">
        <v>2250</v>
      </c>
      <c r="D84" s="23">
        <f t="shared" si="6"/>
      </c>
      <c r="E84" s="31">
        <f t="shared" si="4"/>
      </c>
      <c r="F84" s="25">
        <f t="shared" si="7"/>
      </c>
      <c r="G84" s="26">
        <f t="shared" si="8"/>
      </c>
    </row>
    <row r="85" spans="1:7">
      <c r="A85" s="133">
        <f>IFERROR((LOOKUP(MATCH(B85,'00 ACC DETAILS 01'!$E$30:$E$112,0),'00 ACC DETAILS 01'!$A$30:$A$112,'00 ACC DETAILS 01'!$D$30:$D$112)),0)</f>
      </c>
      <c r="B85" t="s" s="34">
        <v>82</v>
      </c>
      <c r="C85" s="35">
        <f>C83</f>
      </c>
      <c r="D85" s="23">
        <f t="shared" si="6"/>
      </c>
      <c r="E85" s="31">
        <f t="shared" si="4"/>
      </c>
      <c r="F85" s="25">
        <f t="shared" si="7"/>
      </c>
      <c r="G85" s="26">
        <f t="shared" si="8"/>
      </c>
    </row>
    <row r="86" spans="1:7">
      <c r="A86" s="133">
        <f>IFERROR((LOOKUP(MATCH(B86,'00 ACC DETAILS 01'!$E$30:$E$112,0),'00 ACC DETAILS 01'!$A$30:$A$112,'00 ACC DETAILS 01'!$D$30:$D$112)),0)</f>
      </c>
      <c r="B86" t="s" s="34">
        <v>83</v>
      </c>
      <c r="C86" s="35">
        <f>C84</f>
      </c>
      <c r="D86" s="23">
        <f t="shared" si="6"/>
      </c>
      <c r="E86" s="31">
        <f t="shared" si="4"/>
      </c>
      <c r="F86" s="25">
        <f t="shared" si="7"/>
      </c>
      <c r="G86" s="26">
        <f t="shared" si="8"/>
      </c>
    </row>
    <row r="87" spans="1:7">
      <c r="A87" s="133">
        <f>IFERROR((LOOKUP(MATCH(B87,'00 ACC DETAILS 01'!$E$30:$E$112,0),'00 ACC DETAILS 01'!$A$30:$A$112,'00 ACC DETAILS 01'!$D$30:$D$112)),0)</f>
      </c>
      <c r="B87" t="s" s="36">
        <v>84</v>
      </c>
      <c r="C87" s="37">
        <f>C85</f>
      </c>
      <c r="D87" s="23">
        <f t="shared" si="6"/>
      </c>
      <c r="E87" s="31">
        <f t="shared" ref="E87:E98" si="9">E88+6</f>
      </c>
      <c r="F87" s="25">
        <f t="shared" si="7"/>
      </c>
      <c r="G87" s="26">
        <f t="shared" si="8"/>
      </c>
    </row>
    <row r="88" spans="1:7">
      <c r="A88" s="133">
        <f>IFERROR((LOOKUP(MATCH(B88,'00 ACC DETAILS 01'!$E$30:$E$112,0),'00 ACC DETAILS 01'!$A$30:$A$112,'00 ACC DETAILS 01'!$D$30:$D$112)),0)</f>
      </c>
      <c r="B88" t="s" s="34">
        <v>85</v>
      </c>
      <c r="C88" s="35">
        <f>C86</f>
      </c>
      <c r="D88" s="23">
        <f t="shared" si="6"/>
      </c>
      <c r="E88" s="31">
        <f t="shared" si="9"/>
      </c>
      <c r="F88" s="25">
        <f t="shared" si="7"/>
      </c>
      <c r="G88" s="26">
        <f t="shared" si="8"/>
      </c>
    </row>
    <row r="89" spans="1:7">
      <c r="A89" s="133">
        <f>IFERROR((LOOKUP(MATCH(B89,'00 ACC DETAILS 01'!$E$30:$E$112,0),'00 ACC DETAILS 01'!$A$30:$A$112,'00 ACC DETAILS 01'!$D$30:$D$112)),0)</f>
      </c>
      <c r="B89" t="s" s="34">
        <v>86</v>
      </c>
      <c r="C89" s="35">
        <f>C87</f>
      </c>
      <c r="D89" s="23">
        <f t="shared" si="6"/>
      </c>
      <c r="E89" s="31">
        <f t="shared" si="9"/>
      </c>
      <c r="F89" s="25">
        <f t="shared" si="7"/>
      </c>
      <c r="G89" s="26">
        <f t="shared" si="8"/>
      </c>
    </row>
    <row r="90" spans="1:7">
      <c r="A90" s="133">
        <f>IFERROR((LOOKUP(MATCH(B90,'00 ACC DETAILS 01'!$E$30:$E$112,0),'00 ACC DETAILS 01'!$A$30:$A$112,'00 ACC DETAILS 01'!$D$30:$D$112)),0)</f>
      </c>
      <c r="B90" t="s" s="34">
        <v>87</v>
      </c>
      <c r="C90" s="35">
        <v>2550</v>
      </c>
      <c r="D90" s="23">
        <f t="shared" si="6"/>
      </c>
      <c r="E90" s="31">
        <f t="shared" si="9"/>
      </c>
      <c r="F90" s="25">
        <f t="shared" si="7"/>
      </c>
      <c r="G90" s="26">
        <f t="shared" si="8"/>
      </c>
    </row>
    <row r="91" spans="1:7">
      <c r="A91" s="133">
        <f>IFERROR((LOOKUP(MATCH(B91,'00 ACC DETAILS 01'!$E$30:$E$112,0),'00 ACC DETAILS 01'!$A$30:$A$112,'00 ACC DETAILS 01'!$D$30:$D$112)),0)</f>
      </c>
      <c r="B91" t="s" s="36">
        <v>88</v>
      </c>
      <c r="C91" s="37">
        <v>1700</v>
      </c>
      <c r="D91" s="23">
        <f t="shared" si="6"/>
      </c>
      <c r="E91" s="31">
        <f t="shared" si="9"/>
      </c>
      <c r="F91" s="25">
        <f t="shared" si="7"/>
      </c>
      <c r="G91" s="26">
        <f t="shared" si="8"/>
      </c>
    </row>
    <row r="92" spans="1:7">
      <c r="A92" s="133">
        <f>IFERROR((LOOKUP(MATCH(B92,'00 ACC DETAILS 01'!$E$30:$E$112,0),'00 ACC DETAILS 01'!$A$30:$A$112,'00 ACC DETAILS 01'!$D$30:$D$112)),0)</f>
      </c>
      <c r="B92" t="s" s="34">
        <v>89</v>
      </c>
      <c r="C92" s="35">
        <f>17*150</f>
      </c>
      <c r="D92" s="23">
        <f t="shared" si="6"/>
      </c>
      <c r="E92" s="31">
        <f t="shared" si="9"/>
      </c>
      <c r="F92" s="25">
        <f t="shared" si="7"/>
      </c>
      <c r="G92" s="26">
        <f t="shared" si="8"/>
      </c>
    </row>
    <row r="93" spans="1:7">
      <c r="A93" s="133">
        <f>IFERROR((LOOKUP(MATCH(B93,'00 ACC DETAILS 01'!$E$30:$E$112,0),'00 ACC DETAILS 01'!$A$30:$A$112,'00 ACC DETAILS 01'!$D$30:$D$112)),0)</f>
      </c>
      <c r="B93" t="s" s="34">
        <v>90</v>
      </c>
      <c r="C93" s="35">
        <f>17*100</f>
      </c>
      <c r="D93" s="23">
        <f t="shared" si="6"/>
      </c>
      <c r="E93" s="31">
        <f t="shared" si="9"/>
      </c>
      <c r="F93" s="25">
        <f t="shared" si="7"/>
      </c>
      <c r="G93" s="26">
        <f t="shared" si="8"/>
      </c>
    </row>
    <row r="94" spans="1:7">
      <c r="A94" s="133">
        <f>IFERROR((LOOKUP(MATCH(B94,'00 ACC DETAILS 01'!$E$30:$E$112,0),'00 ACC DETAILS 01'!$A$30:$A$112,'00 ACC DETAILS 01'!$D$30:$D$112)),0)</f>
      </c>
      <c r="B94" t="s" s="34">
        <v>91</v>
      </c>
      <c r="C94" s="35">
        <f>C92</f>
      </c>
      <c r="D94" s="23">
        <f t="shared" si="6"/>
      </c>
      <c r="E94" s="31">
        <f t="shared" si="9"/>
      </c>
      <c r="F94" s="25">
        <f t="shared" si="7"/>
      </c>
      <c r="G94" s="26">
        <f t="shared" si="8"/>
      </c>
    </row>
    <row r="95" spans="1:7">
      <c r="A95" s="133">
        <f>IFERROR((LOOKUP(MATCH(B95,'00 ACC DETAILS 01'!$E$30:$E$112,0),'00 ACC DETAILS 01'!$A$30:$A$112,'00 ACC DETAILS 01'!$D$30:$D$112)),0)</f>
      </c>
      <c r="B95" t="s" s="34">
        <v>92</v>
      </c>
      <c r="C95" s="35">
        <f>17*100</f>
      </c>
      <c r="D95" s="23">
        <f t="shared" si="6"/>
      </c>
      <c r="E95" s="31">
        <f t="shared" si="9"/>
      </c>
      <c r="F95" s="25">
        <f t="shared" si="7"/>
      </c>
      <c r="G95" s="26">
        <f t="shared" si="8"/>
      </c>
    </row>
    <row r="96" spans="1:7">
      <c r="A96" s="133">
        <f>IFERROR((LOOKUP(MATCH(B96,'00 ACC DETAILS 01'!$E$30:$E$112,0),'00 ACC DETAILS 01'!$A$30:$A$112,'00 ACC DETAILS 01'!$D$30:$D$112)),0)</f>
      </c>
      <c r="B96" t="s" s="34">
        <v>93</v>
      </c>
      <c r="C96" s="35">
        <f>C94</f>
      </c>
      <c r="D96" s="23">
        <f t="shared" si="6"/>
      </c>
      <c r="E96" s="31">
        <f t="shared" si="9"/>
      </c>
      <c r="F96" s="25">
        <f t="shared" si="7"/>
      </c>
      <c r="G96" s="26">
        <f t="shared" si="8"/>
      </c>
    </row>
    <row r="97" spans="1:7">
      <c r="A97" s="133">
        <f>IFERROR((LOOKUP(MATCH(B97,'00 ACC DETAILS 01'!$E$30:$E$112,0),'00 ACC DETAILS 01'!$A$30:$A$112,'00 ACC DETAILS 01'!$D$30:$D$112)),0)</f>
      </c>
      <c r="B97" t="s" s="34">
        <v>94</v>
      </c>
      <c r="C97" s="35">
        <f>17*100</f>
      </c>
      <c r="D97" s="23">
        <f t="shared" si="6"/>
      </c>
      <c r="E97" s="31">
        <f t="shared" si="9"/>
      </c>
      <c r="F97" s="25">
        <f t="shared" si="7"/>
      </c>
      <c r="G97" s="38">
        <f t="shared" si="8"/>
      </c>
    </row>
    <row r="98" spans="1:7">
      <c r="A98" s="133">
        <f>IFERROR((LOOKUP(MATCH(B98,'00 ACC DETAILS 01'!$E$30:$E$112,0),'00 ACC DETAILS 01'!$A$30:$A$112,'00 ACC DETAILS 01'!$D$30:$D$112)),0)</f>
      </c>
      <c r="B98" t="s" s="34">
        <v>95</v>
      </c>
      <c r="C98" s="35">
        <f>C96</f>
      </c>
      <c r="D98" s="23">
        <f t="shared" si="6"/>
      </c>
      <c r="E98" s="31">
        <f t="shared" si="9"/>
      </c>
      <c r="F98" s="39">
        <f t="shared" si="7"/>
      </c>
      <c r="G98" s="40">
        <f t="shared" si="8"/>
      </c>
    </row>
    <row r="99" spans="1:7">
      <c r="A99" s="133">
        <f>IFERROR((LOOKUP(MATCH(B99,'00 ACC DETAILS 01'!$E$30:$E$112,0),'00 ACC DETAILS 01'!$A$30:$A$112,'00 ACC DETAILS 01'!$D$30:$D$112)),0)</f>
      </c>
      <c r="B99" t="s" s="34">
        <v>96</v>
      </c>
      <c r="C99" s="35">
        <f>17*100</f>
      </c>
      <c r="D99" s="23">
        <f t="shared" si="6"/>
      </c>
      <c r="E99" s="31">
        <v>11</v>
      </c>
      <c r="F99" s="39">
        <f t="shared" si="7"/>
      </c>
      <c r="G99" s="40">
        <f t="shared" si="8"/>
      </c>
    </row>
    <row r="100" spans="1:7" ht="18">
      <c r="A100" t="s" s="213">
        <v>97</v>
      </c>
      <c r="B100" s="213"/>
      <c r="C100" s="213"/>
      <c r="D100" s="41">
        <f>SUM(D17:D99)</f>
      </c>
      <c r="E100" s="42"/>
      <c r="F100" s="41">
        <f>SUM(F17:F99)</f>
      </c>
      <c r="G100" s="42">
        <f>SUM(G17:G99)</f>
      </c>
    </row>
    <row r="101" spans="1:7">
      <c r="A101" t="s" s="43">
        <v>98</v>
      </c>
      <c r="B101" s="44"/>
      <c r="C101" s="44"/>
      <c r="D101" s="214"/>
      <c r="E101" s="214"/>
      <c r="F101" s="215"/>
      <c r="G101" s="40">
        <v>239.88</v>
      </c>
    </row>
    <row r="102" spans="1:7" ht="20">
      <c r="A102" t="s" s="216">
        <v>99</v>
      </c>
      <c r="B102" s="216"/>
      <c r="C102" s="216"/>
      <c r="D102" s="216"/>
      <c r="E102" s="216"/>
      <c r="F102" s="217"/>
      <c r="G102" s="45">
        <f>G100+G101</f>
      </c>
    </row>
    <row r="103" spans="1:7">
      <c r="A103" t="s" s="46">
        <v>100</v>
      </c>
      <c r="B103" s="4"/>
      <c r="C103" s="4"/>
      <c r="D103" s="47"/>
      <c r="E103" s="48"/>
      <c r="F103" s="49"/>
      <c r="G103" s="50"/>
    </row>
    <row r="104" spans="1:7">
      <c r="A104" s="4"/>
      <c r="B104" s="4"/>
      <c r="C104" s="4"/>
      <c r="D104" s="47"/>
      <c r="E104" s="48"/>
      <c r="F104" s="49"/>
      <c r="G104" s="50"/>
    </row>
    <row r="105" spans="1:7">
      <c r="A105" t="s" s="4">
        <v>101</v>
      </c>
      <c r="B105" s="4"/>
      <c r="C105" t="s" s="4">
        <v>102</v>
      </c>
      <c r="D105" t="s" s="4">
        <v>103</v>
      </c>
      <c r="E105" s="4"/>
      <c r="F105" s="4"/>
      <c r="G105" t="s" s="4">
        <v>104</v>
      </c>
    </row>
    <row r="106" spans="1:7">
      <c r="A106" s="4"/>
      <c r="B106" s="4"/>
      <c r="C106" s="4"/>
      <c r="D106" s="4"/>
      <c r="E106" s="4"/>
      <c r="F106" s="4"/>
      <c r="G106" s="7"/>
    </row>
    <row r="107" spans="1:7">
      <c r="A107" t="s" s="218">
        <v>105</v>
      </c>
      <c r="B107" s="219"/>
      <c r="C107" t="s" s="218">
        <v>106</v>
      </c>
      <c r="D107" s="219"/>
      <c r="E107" t="s" s="218">
        <v>260</v>
      </c>
      <c r="F107" s="218"/>
      <c r="G107" t="s" s="51">
        <v>108</v>
      </c>
    </row>
    <row r="108" spans="1:7">
      <c r="A108" t="s" s="207">
        <v>109</v>
      </c>
      <c r="B108" s="208"/>
      <c r="C108" t="s" s="208">
        <v>110</v>
      </c>
      <c r="D108" s="208"/>
      <c r="E108" t="s" s="208">
        <v>111</v>
      </c>
      <c r="F108" s="208"/>
      <c r="G108" t="s" s="7">
        <v>261</v>
      </c>
    </row>
    <row r="109" spans="1:7">
      <c r="A109" s="52"/>
      <c r="B109" s="7"/>
      <c r="C109" s="7"/>
      <c r="D109" s="7"/>
      <c r="E109" s="7"/>
      <c r="F109" s="7"/>
      <c r="G109" s="7"/>
    </row>
    <row r="110" spans="1:7">
      <c r="A110" s="52"/>
      <c r="B110" s="7"/>
      <c r="C110" s="7"/>
      <c r="D110" s="7"/>
      <c r="E110" s="7"/>
      <c r="F110" s="7"/>
      <c r="G110" s="7"/>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t="s" s="221">
        <v>113</v>
      </c>
      <c r="B117" s="221"/>
      <c r="C117" s="221"/>
      <c r="D117" s="221"/>
      <c r="E117" s="221"/>
      <c r="F117" s="221"/>
      <c r="G117" s="221"/>
    </row>
    <row r="118" spans="1:7" ht="23">
      <c r="A118" t="s" s="222">
        <v>114</v>
      </c>
      <c r="B118" s="222"/>
      <c r="C118" s="222"/>
      <c r="D118" s="222"/>
      <c r="E118" s="222"/>
      <c r="F118" s="222"/>
      <c r="G118" s="222"/>
    </row>
    <row r="119" spans="1:7">
      <c r="A119" t="s" s="223">
        <v>289</v>
      </c>
      <c r="B119" s="223"/>
      <c r="C119" s="223"/>
      <c r="D119" s="223"/>
      <c r="E119" s="223"/>
      <c r="F119" s="223"/>
      <c r="G119" s="223"/>
    </row>
    <row r="120" spans="1:7" ht="16">
      <c r="A120" t="s" s="224">
        <v>115</v>
      </c>
      <c r="B120" s="224"/>
      <c r="C120" s="224"/>
      <c r="D120" s="224"/>
      <c r="E120" s="224"/>
      <c r="F120" s="224"/>
      <c r="G120" s="224"/>
    </row>
    <row r="121" spans="1:7">
      <c r="A121" t="s" s="225">
        <v>116</v>
      </c>
      <c r="B121" s="225"/>
      <c r="C121" s="225"/>
      <c r="D121" s="225"/>
      <c r="E121" s="225"/>
      <c r="F121" s="225"/>
      <c r="G121" s="225"/>
    </row>
    <row r="122" spans="1:7">
      <c r="A122" s="1"/>
      <c r="B122" s="2"/>
      <c r="C122" s="2"/>
      <c r="D122" s="2"/>
      <c r="E122" s="2"/>
      <c r="F122" s="2"/>
      <c r="G122" s="2"/>
    </row>
    <row r="123" spans="1:7">
      <c r="A123" t="s" s="3">
        <v>117</v>
      </c>
      <c r="B123" s="3"/>
      <c r="C123" s="3"/>
      <c r="D123" s="3"/>
      <c r="E123" s="3"/>
      <c r="F123" s="4"/>
      <c r="G123" t="s" s="5">
        <v>118</v>
      </c>
    </row>
    <row r="124" spans="1:7">
      <c r="A124" t="s" s="3">
        <v>119</v>
      </c>
      <c r="B124" s="3"/>
      <c r="C124" s="3"/>
      <c r="D124" s="3"/>
      <c r="E124" s="3"/>
      <c r="F124" s="4"/>
      <c r="G124" t="s" s="5">
        <v>120</v>
      </c>
    </row>
    <row r="125" spans="1:7">
      <c r="A125" t="s" s="3">
        <v>121</v>
      </c>
      <c r="B125" s="3"/>
      <c r="C125" s="3"/>
      <c r="D125" s="3"/>
      <c r="E125" s="3"/>
      <c r="F125" s="3"/>
      <c r="G125" s="3"/>
    </row>
    <row r="126" spans="1:7">
      <c r="A126" s="3"/>
      <c r="B126" s="3"/>
      <c r="C126" s="3"/>
      <c r="D126" s="3"/>
      <c r="E126" s="3"/>
      <c r="F126" s="3"/>
      <c r="G126" s="3"/>
    </row>
    <row r="127" spans="1:7" ht="20">
      <c r="A127" t="s" s="202">
        <v>0</v>
      </c>
      <c r="B127" s="202"/>
      <c r="C127" s="202"/>
      <c r="D127" s="202"/>
      <c r="E127" s="202"/>
      <c r="F127" s="202"/>
      <c r="G127" s="202"/>
    </row>
    <row r="128" spans="1:7">
      <c r="A128" s="208">
        <f ca="1">A10</f>
      </c>
      <c r="B128" s="208"/>
      <c r="C128" s="208"/>
      <c r="D128" s="208"/>
      <c r="E128" s="208"/>
      <c r="F128" s="208"/>
      <c r="G128" s="208"/>
    </row>
    <row r="129" spans="1:7">
      <c r="A129" s="210"/>
      <c r="B129" s="210"/>
      <c r="C129" s="6"/>
      <c r="D129" s="7"/>
      <c r="E129" s="4"/>
      <c r="F129" s="7"/>
      <c r="G129" s="7"/>
    </row>
    <row r="130" spans="1:7" ht="20">
      <c r="A130" t="s" s="226">
        <v>1</v>
      </c>
      <c r="B130" s="226"/>
      <c r="C130" s="53">
        <f>C12</f>
      </c>
      <c r="D130" s="4"/>
      <c r="E130" s="4"/>
      <c r="F130" t="s" s="54">
        <v>2</v>
      </c>
      <c r="G130" s="55">
        <f>G12</f>
      </c>
    </row>
    <row r="131" spans="1:7" ht="20">
      <c r="A131" t="s" s="4">
        <v>3</v>
      </c>
      <c r="B131" s="56"/>
      <c r="C131" s="53">
        <f>C13</f>
      </c>
      <c r="D131" s="4"/>
      <c r="E131" s="4"/>
      <c r="F131" t="s" s="54">
        <v>4</v>
      </c>
      <c r="G131" s="57">
        <f>G13</f>
      </c>
    </row>
    <row r="132" spans="1:7" ht="16">
      <c r="A132" t="s" s="4">
        <v>5</v>
      </c>
      <c r="B132" s="58"/>
      <c r="C132" s="227"/>
      <c r="D132" s="227"/>
      <c r="E132" t="s" s="4">
        <v>6</v>
      </c>
      <c r="F132" s="228"/>
      <c r="G132" s="228"/>
    </row>
    <row r="133" spans="1:7" ht="17" thickBot="1">
      <c r="A133" t="s" s="4">
        <v>290</v>
      </c>
      <c r="B133" s="4"/>
      <c r="C133" s="58">
        <f>C15</f>
      </c>
      <c r="D133" s="59"/>
      <c r="E133" t="s" s="4">
        <v>6</v>
      </c>
      <c r="F133" s="220"/>
      <c r="G133" s="220"/>
    </row>
    <row r="134" spans="1:7" ht="16" thickBot="1">
      <c r="A134" t="s" s="20">
        <v>7</v>
      </c>
      <c r="B134" t="s" s="20">
        <v>8</v>
      </c>
      <c r="C134" t="s" s="20">
        <v>9</v>
      </c>
      <c r="D134" t="s" s="20">
        <v>10</v>
      </c>
      <c r="E134" t="s" s="21">
        <v>11</v>
      </c>
      <c r="F134" t="s" s="20">
        <v>12</v>
      </c>
      <c r="G134" t="s" s="20">
        <v>13</v>
      </c>
    </row>
    <row r="135" spans="1:7" ht="16">
      <c r="A135" s="60">
        <f t="shared" ref="A135:A198" si="10">A17</f>
      </c>
      <c r="B135" t="s" s="61">
        <v>14</v>
      </c>
      <c r="C135" s="35">
        <f>1.1*100</f>
      </c>
      <c r="D135" s="23">
        <f t="shared" ref="D135:D198" si="11">A135*C135</f>
      </c>
      <c r="E135" s="24"/>
      <c r="F135" s="25">
        <f t="shared" ref="F135:F198" si="12">D135*E135/100</f>
      </c>
      <c r="G135" s="26">
        <f t="shared" ref="G135:G198" si="13">D135+F135</f>
      </c>
    </row>
    <row r="136" spans="1:7" ht="16">
      <c r="A136" s="62">
        <f t="shared" si="10"/>
      </c>
      <c r="B136" t="s" s="30">
        <v>15</v>
      </c>
      <c r="C136" s="35">
        <f>1.1*150</f>
      </c>
      <c r="D136" s="28">
        <f t="shared" si="11"/>
      </c>
      <c r="E136" s="29"/>
      <c r="F136" s="63">
        <f t="shared" si="12"/>
      </c>
      <c r="G136" s="64">
        <f t="shared" si="13"/>
      </c>
    </row>
    <row r="137" spans="1:7" ht="16">
      <c r="A137" s="62">
        <f t="shared" si="10"/>
      </c>
      <c r="B137" t="s" s="30">
        <v>16</v>
      </c>
      <c r="C137" s="35">
        <f>1.1*100</f>
      </c>
      <c r="D137" s="28">
        <f t="shared" si="11"/>
      </c>
      <c r="E137" s="29"/>
      <c r="F137" s="63">
        <f t="shared" si="12"/>
      </c>
      <c r="G137" s="64">
        <f t="shared" si="13"/>
      </c>
    </row>
    <row r="138" spans="1:7" ht="16">
      <c r="A138" s="62">
        <f t="shared" si="10"/>
      </c>
      <c r="B138" t="s" s="30">
        <v>17</v>
      </c>
      <c r="C138" s="35">
        <f>1.1*150</f>
      </c>
      <c r="D138" s="28">
        <f t="shared" si="11"/>
      </c>
      <c r="E138" s="29"/>
      <c r="F138" s="63">
        <f t="shared" si="12"/>
      </c>
      <c r="G138" s="64">
        <f t="shared" si="13"/>
      </c>
    </row>
    <row r="139" spans="1:7" ht="16">
      <c r="A139" s="62">
        <f t="shared" si="10"/>
      </c>
      <c r="B139" t="s" s="30">
        <v>18</v>
      </c>
      <c r="C139" s="35">
        <f>1.1*100</f>
      </c>
      <c r="D139" s="28">
        <f t="shared" si="11"/>
      </c>
      <c r="E139" s="29"/>
      <c r="F139" s="63">
        <f t="shared" si="12"/>
      </c>
      <c r="G139" s="64">
        <f t="shared" si="13"/>
      </c>
    </row>
    <row r="140" spans="1:7" ht="16">
      <c r="A140" s="62">
        <f t="shared" si="10"/>
      </c>
      <c r="B140" t="s" s="30">
        <v>19</v>
      </c>
      <c r="C140" s="35">
        <f>1.1*150</f>
      </c>
      <c r="D140" s="28">
        <f t="shared" si="11"/>
      </c>
      <c r="E140" s="29"/>
      <c r="F140" s="63">
        <f t="shared" si="12"/>
      </c>
      <c r="G140" s="64">
        <f t="shared" si="13"/>
      </c>
    </row>
    <row r="141" spans="1:7" ht="16">
      <c r="A141" s="62">
        <f t="shared" si="10"/>
      </c>
      <c r="B141" t="s" s="30">
        <v>20</v>
      </c>
      <c r="C141" s="35">
        <f>1.1*100</f>
      </c>
      <c r="D141" s="28">
        <f t="shared" si="11"/>
      </c>
      <c r="E141" s="29"/>
      <c r="F141" s="63">
        <f t="shared" si="12"/>
      </c>
      <c r="G141" s="64">
        <f t="shared" si="13"/>
      </c>
    </row>
    <row r="142" spans="1:7" ht="16">
      <c r="A142" s="62">
        <f t="shared" si="10"/>
      </c>
      <c r="B142" t="s" s="30">
        <v>21</v>
      </c>
      <c r="C142" s="35">
        <f>1.1*150</f>
      </c>
      <c r="D142" s="28">
        <f t="shared" si="11"/>
      </c>
      <c r="E142" s="29"/>
      <c r="F142" s="63">
        <f t="shared" si="12"/>
      </c>
      <c r="G142" s="64">
        <f t="shared" si="13"/>
      </c>
    </row>
    <row r="143" spans="1:7" ht="16">
      <c r="A143" s="62">
        <f t="shared" si="10"/>
      </c>
      <c r="B143" t="s" s="30">
        <v>22</v>
      </c>
      <c r="C143" s="35">
        <f>1.3*100</f>
      </c>
      <c r="D143" s="28">
        <f t="shared" si="11"/>
      </c>
      <c r="E143" s="29"/>
      <c r="F143" s="63">
        <f t="shared" si="12"/>
      </c>
      <c r="G143" s="64">
        <f t="shared" si="13"/>
      </c>
    </row>
    <row r="144" spans="1:7" ht="16">
      <c r="A144" s="62">
        <f t="shared" si="10"/>
      </c>
      <c r="B144" t="s" s="30">
        <v>23</v>
      </c>
      <c r="C144" s="35">
        <f>1.3*150</f>
      </c>
      <c r="D144" s="28">
        <f t="shared" si="11"/>
      </c>
      <c r="E144" s="29"/>
      <c r="F144" s="63">
        <f t="shared" si="12"/>
      </c>
      <c r="G144" s="64">
        <f t="shared" si="13"/>
      </c>
    </row>
    <row r="145" spans="1:7" ht="16">
      <c r="A145" s="62">
        <f t="shared" si="10"/>
      </c>
      <c r="B145" t="s" s="30">
        <v>24</v>
      </c>
      <c r="C145" s="35">
        <f>1.3*100</f>
      </c>
      <c r="D145" s="28">
        <f t="shared" si="11"/>
      </c>
      <c r="E145" s="29"/>
      <c r="F145" s="63">
        <f t="shared" si="12"/>
      </c>
      <c r="G145" s="64">
        <f t="shared" si="13"/>
      </c>
    </row>
    <row r="146" spans="1:7" ht="16">
      <c r="A146" s="62">
        <f t="shared" si="10"/>
      </c>
      <c r="B146" t="s" s="30">
        <v>25</v>
      </c>
      <c r="C146" s="35">
        <f>1.4*150</f>
      </c>
      <c r="D146" s="28">
        <f t="shared" si="11"/>
      </c>
      <c r="E146" s="29"/>
      <c r="F146" s="63">
        <f t="shared" si="12"/>
      </c>
      <c r="G146" s="64">
        <f t="shared" si="13"/>
      </c>
    </row>
    <row r="147" spans="1:7" ht="16">
      <c r="A147" s="62">
        <f t="shared" si="10"/>
      </c>
      <c r="B147" t="s" s="30">
        <v>26</v>
      </c>
      <c r="C147" s="35">
        <f>1.45*100</f>
      </c>
      <c r="D147" s="28">
        <f t="shared" si="11"/>
      </c>
      <c r="E147" s="29"/>
      <c r="F147" s="63">
        <f t="shared" si="12"/>
      </c>
      <c r="G147" s="64">
        <f t="shared" si="13"/>
      </c>
    </row>
    <row r="148" spans="1:7" ht="16">
      <c r="A148" s="62">
        <f t="shared" si="10"/>
      </c>
      <c r="B148" t="s" s="30">
        <v>27</v>
      </c>
      <c r="C148" s="35">
        <f>1.55*150</f>
      </c>
      <c r="D148" s="28">
        <f t="shared" si="11"/>
      </c>
      <c r="E148" s="29"/>
      <c r="F148" s="63">
        <f t="shared" si="12"/>
      </c>
      <c r="G148" s="64">
        <f t="shared" si="13"/>
      </c>
    </row>
    <row r="149" spans="1:7" ht="16">
      <c r="A149" s="62">
        <f t="shared" si="10"/>
      </c>
      <c r="B149" t="s" s="30">
        <v>28</v>
      </c>
      <c r="C149" s="35">
        <f>1.55*100</f>
      </c>
      <c r="D149" s="28">
        <f t="shared" si="11"/>
      </c>
      <c r="E149" s="29"/>
      <c r="F149" s="63">
        <f t="shared" si="12"/>
      </c>
      <c r="G149" s="64">
        <f t="shared" si="13"/>
      </c>
    </row>
    <row r="150" spans="1:7" ht="16">
      <c r="A150" s="62">
        <f t="shared" si="10"/>
      </c>
      <c r="B150" t="s" s="30">
        <v>29</v>
      </c>
      <c r="C150" s="35">
        <f>1.7*150</f>
      </c>
      <c r="D150" s="28">
        <f t="shared" si="11"/>
      </c>
      <c r="E150" s="29"/>
      <c r="F150" s="63">
        <f t="shared" si="12"/>
      </c>
      <c r="G150" s="64">
        <f t="shared" si="13"/>
      </c>
    </row>
    <row r="151" spans="1:7" ht="16">
      <c r="A151" s="62">
        <f t="shared" si="10"/>
      </c>
      <c r="B151" t="s" s="30">
        <v>30</v>
      </c>
      <c r="C151" s="35">
        <f>1.7*100</f>
      </c>
      <c r="D151" s="28">
        <f t="shared" si="11"/>
      </c>
      <c r="E151" s="29"/>
      <c r="F151" s="63">
        <f t="shared" si="12"/>
      </c>
      <c r="G151" s="64">
        <f t="shared" si="13"/>
      </c>
    </row>
    <row r="152" spans="1:7" ht="16">
      <c r="A152" s="62">
        <f t="shared" si="10"/>
      </c>
      <c r="B152" t="s" s="30">
        <v>31</v>
      </c>
      <c r="C152" s="35">
        <f>2.1*150</f>
      </c>
      <c r="D152" s="28">
        <f t="shared" si="11"/>
      </c>
      <c r="E152" s="29"/>
      <c r="F152" s="63">
        <f t="shared" si="12"/>
      </c>
      <c r="G152" s="64">
        <f t="shared" si="13"/>
      </c>
    </row>
    <row r="153" spans="1:7" ht="16">
      <c r="A153" s="62">
        <f t="shared" si="10"/>
      </c>
      <c r="B153" t="s" s="30">
        <v>32</v>
      </c>
      <c r="C153" s="35">
        <f>2.65*100</f>
      </c>
      <c r="D153" s="28">
        <f t="shared" si="11"/>
      </c>
      <c r="E153" s="29"/>
      <c r="F153" s="63">
        <f t="shared" si="12"/>
      </c>
      <c r="G153" s="64">
        <f t="shared" si="13"/>
      </c>
    </row>
    <row r="154" spans="1:7" ht="16">
      <c r="A154" s="62">
        <f t="shared" si="10"/>
      </c>
      <c r="B154" t="s" s="30">
        <v>33</v>
      </c>
      <c r="C154" s="35">
        <f>3.5*150</f>
      </c>
      <c r="D154" s="28">
        <f t="shared" si="11"/>
      </c>
      <c r="E154" s="29"/>
      <c r="F154" s="63">
        <f t="shared" si="12"/>
      </c>
      <c r="G154" s="64">
        <f t="shared" si="13"/>
      </c>
    </row>
    <row r="155" spans="1:7" ht="16">
      <c r="A155" s="62">
        <f t="shared" si="10"/>
      </c>
      <c r="B155" t="s" s="30">
        <v>34</v>
      </c>
      <c r="C155" s="35">
        <f>3.5*100</f>
      </c>
      <c r="D155" s="28">
        <f t="shared" si="11"/>
      </c>
      <c r="E155" s="29"/>
      <c r="F155" s="63">
        <f t="shared" si="12"/>
      </c>
      <c r="G155" s="64">
        <f t="shared" si="13"/>
      </c>
    </row>
    <row r="156" spans="1:7" ht="16">
      <c r="A156" s="62">
        <f t="shared" si="10"/>
      </c>
      <c r="B156" t="s" s="30">
        <v>35</v>
      </c>
      <c r="C156" s="35">
        <f>3.5*150</f>
      </c>
      <c r="D156" s="28">
        <f t="shared" si="11"/>
      </c>
      <c r="E156" s="29"/>
      <c r="F156" s="63">
        <f t="shared" si="12"/>
      </c>
      <c r="G156" s="64">
        <f t="shared" si="13"/>
      </c>
    </row>
    <row r="157" spans="1:7" ht="16">
      <c r="A157" s="62">
        <f t="shared" si="10"/>
      </c>
      <c r="B157" t="s" s="30">
        <v>36</v>
      </c>
      <c r="C157" s="35">
        <f>3.5*100</f>
      </c>
      <c r="D157" s="28">
        <f t="shared" si="11"/>
      </c>
      <c r="E157" s="29"/>
      <c r="F157" s="63">
        <f t="shared" si="12"/>
      </c>
      <c r="G157" s="64">
        <f t="shared" si="13"/>
      </c>
    </row>
    <row r="158" spans="1:7" ht="16">
      <c r="A158" s="62">
        <f t="shared" si="10"/>
      </c>
      <c r="B158" t="s" s="30">
        <v>37</v>
      </c>
      <c r="C158" s="35">
        <f>3.5*150</f>
      </c>
      <c r="D158" s="28">
        <f t="shared" si="11"/>
      </c>
      <c r="E158" s="29"/>
      <c r="F158" s="63">
        <f t="shared" si="12"/>
      </c>
      <c r="G158" s="64">
        <f t="shared" si="13"/>
      </c>
    </row>
    <row r="159" spans="1:7" ht="16">
      <c r="A159" s="62">
        <f t="shared" si="10"/>
      </c>
      <c r="B159" t="s" s="30">
        <v>38</v>
      </c>
      <c r="C159" s="35">
        <f>3.5*100</f>
      </c>
      <c r="D159" s="28">
        <f t="shared" si="11"/>
      </c>
      <c r="E159" s="29"/>
      <c r="F159" s="63">
        <f t="shared" si="12"/>
      </c>
      <c r="G159" s="64">
        <f t="shared" si="13"/>
      </c>
    </row>
    <row r="160" spans="1:7" ht="16">
      <c r="A160" s="62">
        <f t="shared" si="10"/>
      </c>
      <c r="B160" t="s" s="30">
        <v>39</v>
      </c>
      <c r="C160" s="35">
        <f>3.5*150</f>
      </c>
      <c r="D160" s="28">
        <f t="shared" si="11"/>
      </c>
      <c r="E160" s="29"/>
      <c r="F160" s="63">
        <f t="shared" si="12"/>
      </c>
      <c r="G160" s="64">
        <f t="shared" si="13"/>
      </c>
    </row>
    <row r="161" spans="1:7" ht="16">
      <c r="A161" s="62">
        <f t="shared" si="10"/>
      </c>
      <c r="B161" t="s" s="30">
        <v>40</v>
      </c>
      <c r="C161" s="35">
        <f>3.5*100</f>
      </c>
      <c r="D161" s="28">
        <f t="shared" si="11"/>
      </c>
      <c r="E161" s="29"/>
      <c r="F161" s="63">
        <f t="shared" si="12"/>
      </c>
      <c r="G161" s="64">
        <f t="shared" si="13"/>
      </c>
    </row>
    <row r="162" spans="1:7" ht="16">
      <c r="A162" s="62">
        <f t="shared" si="10"/>
      </c>
      <c r="B162" t="s" s="30">
        <v>41</v>
      </c>
      <c r="C162" s="35">
        <f>3.5*150</f>
      </c>
      <c r="D162" s="28">
        <f t="shared" si="11"/>
      </c>
      <c r="E162" s="29"/>
      <c r="F162" s="63">
        <f t="shared" si="12"/>
      </c>
      <c r="G162" s="64">
        <f t="shared" si="13"/>
      </c>
    </row>
    <row r="163" spans="1:7" ht="16">
      <c r="A163" s="62">
        <f t="shared" si="10"/>
      </c>
      <c r="B163" t="s" s="30">
        <v>42</v>
      </c>
      <c r="C163" s="35">
        <f>3.5*100</f>
      </c>
      <c r="D163" s="28">
        <f t="shared" si="11"/>
      </c>
      <c r="E163" s="29"/>
      <c r="F163" s="63">
        <f t="shared" si="12"/>
      </c>
      <c r="G163" s="64">
        <f t="shared" si="13"/>
      </c>
    </row>
    <row r="164" spans="1:7" ht="16">
      <c r="A164" s="62">
        <f t="shared" si="10"/>
      </c>
      <c r="B164" t="s" s="30">
        <v>43</v>
      </c>
      <c r="C164" s="35">
        <f>6*150</f>
      </c>
      <c r="D164" s="28">
        <f t="shared" si="11"/>
      </c>
      <c r="E164" s="29"/>
      <c r="F164" s="63">
        <f t="shared" si="12"/>
      </c>
      <c r="G164" s="64">
        <f t="shared" si="13"/>
      </c>
    </row>
    <row r="165" spans="1:7" ht="16">
      <c r="A165" s="62">
        <f t="shared" si="10"/>
      </c>
      <c r="B165" t="s" s="30">
        <v>44</v>
      </c>
      <c r="C165" s="35">
        <f>6*100</f>
      </c>
      <c r="D165" s="28">
        <f t="shared" si="11"/>
      </c>
      <c r="E165" s="29"/>
      <c r="F165" s="63">
        <f t="shared" si="12"/>
      </c>
      <c r="G165" s="64">
        <f t="shared" si="13"/>
      </c>
    </row>
    <row r="166" spans="1:7" ht="16">
      <c r="A166" s="62">
        <f t="shared" si="10"/>
      </c>
      <c r="B166" t="s" s="30">
        <v>45</v>
      </c>
      <c r="C166" s="35">
        <f>6*150</f>
      </c>
      <c r="D166" s="28">
        <f t="shared" si="11"/>
      </c>
      <c r="E166" s="29"/>
      <c r="F166" s="63">
        <f t="shared" si="12"/>
      </c>
      <c r="G166" s="64">
        <f t="shared" si="13"/>
      </c>
    </row>
    <row r="167" spans="1:7" ht="16">
      <c r="A167" s="62">
        <f t="shared" si="10"/>
      </c>
      <c r="B167" t="s" s="30">
        <v>46</v>
      </c>
      <c r="C167" s="35">
        <f>6*100</f>
      </c>
      <c r="D167" s="28">
        <f t="shared" si="11"/>
      </c>
      <c r="E167" s="29"/>
      <c r="F167" s="63">
        <f t="shared" si="12"/>
      </c>
      <c r="G167" s="64">
        <f t="shared" si="13"/>
      </c>
    </row>
    <row r="168" spans="1:7" ht="16">
      <c r="A168" s="62">
        <f t="shared" si="10"/>
      </c>
      <c r="B168" t="s" s="30">
        <v>47</v>
      </c>
      <c r="C168" s="35">
        <f>6*150</f>
      </c>
      <c r="D168" s="28">
        <f t="shared" si="11"/>
      </c>
      <c r="E168" s="29"/>
      <c r="F168" s="63">
        <f t="shared" si="12"/>
      </c>
      <c r="G168" s="64">
        <f t="shared" si="13"/>
      </c>
    </row>
    <row r="169" spans="1:7" ht="16">
      <c r="A169" s="62">
        <f t="shared" si="10"/>
      </c>
      <c r="B169" t="s" s="30">
        <v>48</v>
      </c>
      <c r="C169" s="35">
        <f>6*100</f>
      </c>
      <c r="D169" s="28">
        <f t="shared" si="11"/>
      </c>
      <c r="E169" s="29"/>
      <c r="F169" s="63">
        <f t="shared" si="12"/>
      </c>
      <c r="G169" s="64">
        <f t="shared" si="13"/>
      </c>
    </row>
    <row r="170" spans="1:7" ht="16">
      <c r="A170" s="62">
        <f t="shared" si="10"/>
      </c>
      <c r="B170" t="s" s="30">
        <v>49</v>
      </c>
      <c r="C170" s="35">
        <f>6*150</f>
      </c>
      <c r="D170" s="28">
        <f t="shared" si="11"/>
      </c>
      <c r="E170" s="29"/>
      <c r="F170" s="63">
        <f t="shared" si="12"/>
      </c>
      <c r="G170" s="64">
        <f t="shared" si="13"/>
      </c>
    </row>
    <row r="171" spans="1:7" ht="16">
      <c r="A171" s="62">
        <f t="shared" si="10"/>
      </c>
      <c r="B171" t="s" s="30">
        <v>50</v>
      </c>
      <c r="C171" s="35">
        <f>6*100</f>
      </c>
      <c r="D171" s="28">
        <f t="shared" si="11"/>
      </c>
      <c r="E171" s="29"/>
      <c r="F171" s="63">
        <f t="shared" si="12"/>
      </c>
      <c r="G171" s="64">
        <f t="shared" si="13"/>
      </c>
    </row>
    <row r="172" spans="1:7" ht="16">
      <c r="A172" s="62">
        <f t="shared" si="10"/>
      </c>
      <c r="B172" t="s" s="30">
        <v>51</v>
      </c>
      <c r="C172" s="35">
        <f>6*150</f>
      </c>
      <c r="D172" s="28">
        <f t="shared" si="11"/>
      </c>
      <c r="E172" s="29"/>
      <c r="F172" s="63">
        <f t="shared" si="12"/>
      </c>
      <c r="G172" s="64">
        <f t="shared" si="13"/>
      </c>
    </row>
    <row r="173" spans="1:7" ht="16">
      <c r="A173" s="62">
        <f t="shared" si="10"/>
      </c>
      <c r="B173" t="s" s="30">
        <v>52</v>
      </c>
      <c r="C173" s="35">
        <f>6*100</f>
      </c>
      <c r="D173" s="28">
        <f t="shared" si="11"/>
      </c>
      <c r="E173" s="29"/>
      <c r="F173" s="63">
        <f t="shared" si="12"/>
      </c>
      <c r="G173" s="64">
        <f t="shared" si="13"/>
      </c>
    </row>
    <row r="174" spans="1:7" ht="16">
      <c r="A174" s="62">
        <f t="shared" si="10"/>
      </c>
      <c r="B174" t="s" s="30">
        <v>53</v>
      </c>
      <c r="C174" s="35">
        <f>6*150</f>
      </c>
      <c r="D174" s="28">
        <f t="shared" si="11"/>
      </c>
      <c r="E174" s="29"/>
      <c r="F174" s="63">
        <f t="shared" si="12"/>
      </c>
      <c r="G174" s="64">
        <f t="shared" si="13"/>
      </c>
    </row>
    <row r="175" spans="1:7" ht="16">
      <c r="A175" s="62">
        <f t="shared" si="10"/>
      </c>
      <c r="B175" t="s" s="30">
        <v>54</v>
      </c>
      <c r="C175" s="35">
        <f>6*100</f>
      </c>
      <c r="D175" s="28">
        <f t="shared" si="11"/>
      </c>
      <c r="E175" s="29"/>
      <c r="F175" s="63">
        <f t="shared" si="12"/>
      </c>
      <c r="G175" s="64">
        <f t="shared" si="13"/>
      </c>
    </row>
    <row r="176" spans="1:7" ht="16">
      <c r="A176" s="62">
        <f t="shared" si="10"/>
      </c>
      <c r="B176" t="s" s="30">
        <v>55</v>
      </c>
      <c r="C176" s="35">
        <f>6*150</f>
      </c>
      <c r="D176" s="28">
        <f t="shared" si="11"/>
      </c>
      <c r="E176" s="29"/>
      <c r="F176" s="63">
        <f t="shared" si="12"/>
      </c>
      <c r="G176" s="64">
        <f t="shared" si="13"/>
      </c>
    </row>
    <row r="177" spans="1:7" ht="16">
      <c r="A177" s="62">
        <f t="shared" si="10"/>
      </c>
      <c r="B177" t="s" s="30">
        <v>56</v>
      </c>
      <c r="C177" s="35">
        <f>8*100</f>
      </c>
      <c r="D177" s="28">
        <f t="shared" si="11"/>
      </c>
      <c r="E177" s="29"/>
      <c r="F177" s="63">
        <f t="shared" si="12"/>
      </c>
      <c r="G177" s="64">
        <f t="shared" si="13"/>
      </c>
    </row>
    <row r="178" spans="1:7" ht="16">
      <c r="A178" s="62">
        <f t="shared" si="10"/>
      </c>
      <c r="B178" t="s" s="30">
        <v>57</v>
      </c>
      <c r="C178" s="35">
        <f>8*150</f>
      </c>
      <c r="D178" s="28">
        <f t="shared" si="11"/>
      </c>
      <c r="E178" s="29"/>
      <c r="F178" s="63">
        <f t="shared" si="12"/>
      </c>
      <c r="G178" s="64">
        <f t="shared" si="13"/>
      </c>
    </row>
    <row r="179" spans="1:7" ht="16">
      <c r="A179" s="62">
        <f t="shared" si="10"/>
      </c>
      <c r="B179" t="s" s="30">
        <v>58</v>
      </c>
      <c r="C179" s="35">
        <f>8*100</f>
      </c>
      <c r="D179" s="28">
        <f t="shared" si="11"/>
      </c>
      <c r="E179" s="29"/>
      <c r="F179" s="63">
        <f t="shared" si="12"/>
      </c>
      <c r="G179" s="64">
        <f t="shared" si="13"/>
      </c>
    </row>
    <row r="180" spans="1:7" ht="16">
      <c r="A180" s="62">
        <f t="shared" si="10"/>
      </c>
      <c r="B180" t="s" s="30">
        <v>59</v>
      </c>
      <c r="C180" s="28">
        <v>0</v>
      </c>
      <c r="D180" s="28">
        <f t="shared" si="11"/>
      </c>
      <c r="E180" s="29"/>
      <c r="F180" s="63">
        <f t="shared" si="12"/>
      </c>
      <c r="G180" s="64">
        <f t="shared" si="13"/>
      </c>
    </row>
    <row r="181" spans="1:7" ht="16">
      <c r="A181" s="62">
        <f t="shared" si="10"/>
      </c>
      <c r="B181" t="s" s="30">
        <v>60</v>
      </c>
      <c r="C181" s="28">
        <f t="shared" ref="C181:C186" si="14">C63</f>
      </c>
      <c r="D181" s="28">
        <f t="shared" si="11"/>
      </c>
      <c r="E181" s="29"/>
      <c r="F181" s="63">
        <f t="shared" si="12"/>
      </c>
      <c r="G181" s="64">
        <f t="shared" si="13"/>
      </c>
    </row>
    <row r="182" spans="1:7" ht="16">
      <c r="A182" s="62">
        <f t="shared" si="10"/>
      </c>
      <c r="B182" t="s" s="30">
        <v>61</v>
      </c>
      <c r="C182" s="28">
        <f t="shared" si="14"/>
      </c>
      <c r="D182" s="28">
        <f t="shared" si="11"/>
      </c>
      <c r="E182" s="29"/>
      <c r="F182" s="63">
        <f t="shared" si="12"/>
      </c>
      <c r="G182" s="64">
        <f t="shared" si="13"/>
      </c>
    </row>
    <row r="183" spans="1:7" ht="16">
      <c r="A183" s="62">
        <f t="shared" si="10"/>
      </c>
      <c r="B183" t="s" s="30">
        <v>62</v>
      </c>
      <c r="C183" s="28">
        <f t="shared" si="14"/>
      </c>
      <c r="D183" s="28">
        <f t="shared" si="11"/>
      </c>
      <c r="E183" s="29"/>
      <c r="F183" s="63">
        <f t="shared" si="12"/>
      </c>
      <c r="G183" s="64">
        <f t="shared" si="13"/>
      </c>
    </row>
    <row r="184" spans="1:7" ht="16">
      <c r="A184" s="62">
        <f t="shared" si="10"/>
      </c>
      <c r="B184" t="s" s="30">
        <v>63</v>
      </c>
      <c r="C184" s="28">
        <f t="shared" si="14"/>
      </c>
      <c r="D184" s="28">
        <f t="shared" si="11"/>
      </c>
      <c r="E184" s="29"/>
      <c r="F184" s="63">
        <f t="shared" si="12"/>
      </c>
      <c r="G184" s="64">
        <f t="shared" si="13"/>
      </c>
    </row>
    <row r="185" spans="1:7" ht="16">
      <c r="A185" s="62">
        <f t="shared" si="10"/>
      </c>
      <c r="B185" t="s" s="30">
        <v>64</v>
      </c>
      <c r="C185" s="28">
        <f t="shared" si="14"/>
      </c>
      <c r="D185" s="28">
        <f t="shared" si="11"/>
      </c>
      <c r="E185" s="29">
        <f t="shared" ref="E185:E216" si="15">E186+6</f>
      </c>
      <c r="F185" s="63">
        <f t="shared" si="12"/>
      </c>
      <c r="G185" s="64">
        <f t="shared" si="13"/>
      </c>
    </row>
    <row r="186" spans="1:7" ht="16">
      <c r="A186" s="62">
        <f t="shared" si="10"/>
      </c>
      <c r="B186" t="s" s="30">
        <v>65</v>
      </c>
      <c r="C186" s="28">
        <f t="shared" si="14"/>
      </c>
      <c r="D186" s="28">
        <f t="shared" si="11"/>
      </c>
      <c r="E186" s="29">
        <f t="shared" si="15"/>
      </c>
      <c r="F186" s="63">
        <f t="shared" si="12"/>
      </c>
      <c r="G186" s="64">
        <f t="shared" si="13"/>
      </c>
    </row>
    <row r="187" spans="1:7" ht="16">
      <c r="A187" s="62">
        <f t="shared" si="10"/>
      </c>
      <c r="B187" t="s" s="30">
        <v>66</v>
      </c>
      <c r="C187" s="28">
        <v>1000</v>
      </c>
      <c r="D187" s="28">
        <f t="shared" si="11"/>
      </c>
      <c r="E187" s="29">
        <f t="shared" si="15"/>
      </c>
      <c r="F187" s="63">
        <f t="shared" si="12"/>
      </c>
      <c r="G187" s="64">
        <f t="shared" si="13"/>
      </c>
    </row>
    <row r="188" spans="1:7" ht="16">
      <c r="A188" s="62">
        <f t="shared" si="10"/>
      </c>
      <c r="B188" t="s" s="30">
        <v>67</v>
      </c>
      <c r="C188" s="28">
        <v>1500</v>
      </c>
      <c r="D188" s="28">
        <f t="shared" si="11"/>
      </c>
      <c r="E188" s="29">
        <f t="shared" si="15"/>
      </c>
      <c r="F188" s="63">
        <f t="shared" si="12"/>
      </c>
      <c r="G188" s="64">
        <f t="shared" si="13"/>
      </c>
    </row>
    <row r="189" spans="1:7" ht="16">
      <c r="A189" s="62">
        <f t="shared" si="10"/>
      </c>
      <c r="B189" t="s" s="30">
        <v>68</v>
      </c>
      <c r="C189" s="28">
        <f t="shared" ref="C189:C197" si="16">C187</f>
      </c>
      <c r="D189" s="28">
        <f t="shared" si="11"/>
      </c>
      <c r="E189" s="29">
        <f t="shared" si="15"/>
      </c>
      <c r="F189" s="63">
        <f t="shared" si="12"/>
      </c>
      <c r="G189" s="64">
        <f t="shared" si="13"/>
      </c>
    </row>
    <row r="190" spans="1:7" ht="16">
      <c r="A190" s="62">
        <f t="shared" si="10"/>
      </c>
      <c r="B190" t="s" s="30">
        <v>69</v>
      </c>
      <c r="C190" s="28">
        <f t="shared" si="16"/>
      </c>
      <c r="D190" s="28">
        <f t="shared" si="11"/>
      </c>
      <c r="E190" s="29">
        <f t="shared" si="15"/>
      </c>
      <c r="F190" s="63">
        <f t="shared" si="12"/>
      </c>
      <c r="G190" s="64">
        <f t="shared" si="13"/>
      </c>
    </row>
    <row r="191" spans="1:7" ht="16">
      <c r="A191" s="62">
        <f t="shared" si="10"/>
      </c>
      <c r="B191" t="s" s="30">
        <v>70</v>
      </c>
      <c r="C191" s="28">
        <f t="shared" si="16"/>
      </c>
      <c r="D191" s="28">
        <f t="shared" si="11"/>
      </c>
      <c r="E191" s="29">
        <f t="shared" si="15"/>
      </c>
      <c r="F191" s="63">
        <f t="shared" si="12"/>
      </c>
      <c r="G191" s="64">
        <f t="shared" si="13"/>
      </c>
    </row>
    <row r="192" spans="1:7" ht="16">
      <c r="A192" s="62">
        <f t="shared" si="10"/>
      </c>
      <c r="B192" t="s" s="30">
        <v>71</v>
      </c>
      <c r="C192" s="28">
        <f t="shared" si="16"/>
      </c>
      <c r="D192" s="28">
        <f t="shared" si="11"/>
      </c>
      <c r="E192" s="29">
        <f t="shared" si="15"/>
      </c>
      <c r="F192" s="63">
        <f t="shared" si="12"/>
      </c>
      <c r="G192" s="64">
        <f t="shared" si="13"/>
      </c>
    </row>
    <row r="193" spans="1:7" ht="16">
      <c r="A193" s="62">
        <f t="shared" si="10"/>
      </c>
      <c r="B193" t="s" s="30">
        <v>72</v>
      </c>
      <c r="C193" s="28">
        <f t="shared" si="16"/>
      </c>
      <c r="D193" s="28">
        <f t="shared" si="11"/>
      </c>
      <c r="E193" s="31">
        <f t="shared" si="15"/>
      </c>
      <c r="F193" s="63">
        <f t="shared" si="12"/>
      </c>
      <c r="G193" s="64">
        <f t="shared" si="13"/>
      </c>
    </row>
    <row r="194" spans="1:7" ht="16">
      <c r="A194" s="62">
        <f t="shared" si="10"/>
      </c>
      <c r="B194" t="s" s="30">
        <v>73</v>
      </c>
      <c r="C194" s="28">
        <f t="shared" si="16"/>
      </c>
      <c r="D194" s="28">
        <f t="shared" si="11"/>
      </c>
      <c r="E194" s="29">
        <f t="shared" si="15"/>
      </c>
      <c r="F194" s="63">
        <f t="shared" si="12"/>
      </c>
      <c r="G194" s="64">
        <f t="shared" si="13"/>
      </c>
    </row>
    <row r="195" spans="1:7" ht="16">
      <c r="A195" s="62">
        <f t="shared" si="10"/>
      </c>
      <c r="B195" t="s" s="30">
        <v>74</v>
      </c>
      <c r="C195" s="28">
        <f t="shared" si="16"/>
      </c>
      <c r="D195" s="28">
        <f t="shared" si="11"/>
      </c>
      <c r="E195" s="31">
        <f t="shared" si="15"/>
      </c>
      <c r="F195" s="63">
        <f t="shared" si="12"/>
      </c>
      <c r="G195" s="64">
        <f t="shared" si="13"/>
      </c>
    </row>
    <row r="196" spans="1:7" ht="16">
      <c r="A196" s="62">
        <f t="shared" si="10"/>
      </c>
      <c r="B196" t="s" s="30">
        <v>75</v>
      </c>
      <c r="C196" s="28">
        <f t="shared" si="16"/>
      </c>
      <c r="D196" s="28">
        <f t="shared" si="11"/>
      </c>
      <c r="E196" s="31">
        <f t="shared" si="15"/>
      </c>
      <c r="F196" s="63">
        <f t="shared" si="12"/>
      </c>
      <c r="G196" s="64">
        <f t="shared" si="13"/>
      </c>
    </row>
    <row r="197" spans="1:7" ht="16">
      <c r="A197" s="62">
        <f t="shared" si="10"/>
      </c>
      <c r="B197" t="s" s="30">
        <v>76</v>
      </c>
      <c r="C197" s="28">
        <f t="shared" si="16"/>
      </c>
      <c r="D197" s="28">
        <f t="shared" si="11"/>
      </c>
      <c r="E197" s="31">
        <f t="shared" si="15"/>
      </c>
      <c r="F197" s="63">
        <f t="shared" si="12"/>
      </c>
      <c r="G197" s="64">
        <f t="shared" si="13"/>
      </c>
    </row>
    <row r="198" spans="1:7" ht="16">
      <c r="A198" s="65">
        <f t="shared" si="10"/>
      </c>
      <c r="B198" t="s" s="30">
        <v>77</v>
      </c>
      <c r="C198" s="28">
        <f>11*150</f>
      </c>
      <c r="D198" s="28">
        <f t="shared" si="11"/>
      </c>
      <c r="E198" s="31">
        <f t="shared" si="15"/>
      </c>
      <c r="F198" s="63">
        <f t="shared" si="12"/>
      </c>
      <c r="G198" s="64">
        <f t="shared" si="13"/>
      </c>
    </row>
    <row r="199" spans="1:7" ht="16">
      <c r="A199" s="66">
        <f t="shared" ref="A199:A217" si="17">A81</f>
      </c>
      <c r="B199" t="s" s="27">
        <v>78</v>
      </c>
      <c r="C199" s="28">
        <f>11*100</f>
      </c>
      <c r="D199" s="28">
        <f t="shared" ref="D199:D217" si="18">A199*C199</f>
      </c>
      <c r="E199" s="31">
        <f t="shared" si="15"/>
      </c>
      <c r="F199" s="63">
        <f t="shared" ref="F199:F217" si="19">D199*E199/100</f>
      </c>
      <c r="G199" s="64">
        <f t="shared" ref="G199:G217" si="20">D199+F199</f>
      </c>
    </row>
    <row r="200" spans="1:7" ht="16">
      <c r="A200" s="66">
        <f t="shared" si="17"/>
      </c>
      <c r="B200" t="s" s="67">
        <v>79</v>
      </c>
      <c r="C200" s="28">
        <f>C198</f>
      </c>
      <c r="D200" s="28">
        <f t="shared" si="18"/>
      </c>
      <c r="E200" s="31">
        <f t="shared" si="15"/>
      </c>
      <c r="F200" s="63">
        <f t="shared" si="19"/>
      </c>
      <c r="G200" s="64">
        <f t="shared" si="20"/>
      </c>
    </row>
    <row r="201" spans="1:7" ht="16">
      <c r="A201" s="68">
        <f t="shared" si="17"/>
      </c>
      <c r="B201" t="s" s="36">
        <v>80</v>
      </c>
      <c r="C201" s="69">
        <f>C199</f>
      </c>
      <c r="D201" s="28">
        <f t="shared" si="18"/>
      </c>
      <c r="E201" s="31">
        <f t="shared" si="15"/>
      </c>
      <c r="F201" s="63">
        <f t="shared" si="19"/>
      </c>
      <c r="G201" s="64">
        <f t="shared" si="20"/>
      </c>
    </row>
    <row r="202" spans="1:7" ht="16">
      <c r="A202" s="66">
        <f t="shared" si="17"/>
      </c>
      <c r="B202" t="s" s="34">
        <v>81</v>
      </c>
      <c r="C202" s="35">
        <f>C84</f>
      </c>
      <c r="D202" s="28">
        <f t="shared" si="18"/>
      </c>
      <c r="E202" s="31">
        <f t="shared" si="15"/>
      </c>
      <c r="F202" s="63">
        <f t="shared" si="19"/>
      </c>
      <c r="G202" s="64">
        <f t="shared" si="20"/>
      </c>
    </row>
    <row r="203" spans="1:7" ht="16">
      <c r="A203" s="66">
        <f t="shared" si="17"/>
      </c>
      <c r="B203" t="s" s="34">
        <v>82</v>
      </c>
      <c r="C203" s="35">
        <f>15*100</f>
      </c>
      <c r="D203" s="28">
        <f t="shared" si="18"/>
      </c>
      <c r="E203" s="31">
        <f t="shared" si="15"/>
      </c>
      <c r="F203" s="63">
        <f t="shared" si="19"/>
      </c>
      <c r="G203" s="64">
        <f t="shared" si="20"/>
      </c>
    </row>
    <row r="204" spans="1:7" ht="16">
      <c r="A204" s="66">
        <f t="shared" si="17"/>
      </c>
      <c r="B204" t="s" s="34">
        <v>83</v>
      </c>
      <c r="C204" s="35">
        <f>C202</f>
      </c>
      <c r="D204" s="28">
        <f t="shared" si="18"/>
      </c>
      <c r="E204" s="31">
        <f t="shared" si="15"/>
      </c>
      <c r="F204" s="63">
        <f t="shared" si="19"/>
      </c>
      <c r="G204" s="64">
        <f t="shared" si="20"/>
      </c>
    </row>
    <row r="205" spans="1:7" ht="16">
      <c r="A205" s="66">
        <f t="shared" si="17"/>
      </c>
      <c r="B205" t="s" s="34">
        <v>84</v>
      </c>
      <c r="C205" s="35">
        <f>C203</f>
      </c>
      <c r="D205" s="28">
        <f t="shared" si="18"/>
      </c>
      <c r="E205" s="31">
        <f t="shared" si="15"/>
      </c>
      <c r="F205" s="63">
        <f t="shared" si="19"/>
      </c>
      <c r="G205" s="64">
        <f t="shared" si="20"/>
      </c>
    </row>
    <row r="206" spans="1:7" ht="16">
      <c r="A206" s="66">
        <f t="shared" si="17"/>
      </c>
      <c r="B206" t="s" s="34">
        <v>85</v>
      </c>
      <c r="C206" s="35">
        <f>C204</f>
      </c>
      <c r="D206" s="28">
        <f t="shared" si="18"/>
      </c>
      <c r="E206" s="31">
        <f t="shared" si="15"/>
      </c>
      <c r="F206" s="63">
        <f t="shared" si="19"/>
      </c>
      <c r="G206" s="64">
        <f t="shared" si="20"/>
      </c>
    </row>
    <row r="207" spans="1:7" ht="16">
      <c r="A207" s="70">
        <f t="shared" si="17"/>
      </c>
      <c r="B207" t="s" s="34">
        <v>86</v>
      </c>
      <c r="C207" s="71">
        <v>1500</v>
      </c>
      <c r="D207" s="28">
        <f t="shared" si="18"/>
      </c>
      <c r="E207" s="31">
        <f t="shared" si="15"/>
      </c>
      <c r="F207" s="63">
        <f t="shared" si="19"/>
      </c>
      <c r="G207" s="64">
        <f t="shared" si="20"/>
      </c>
    </row>
    <row r="208" spans="1:7" ht="16">
      <c r="A208" s="70">
        <f t="shared" si="17"/>
      </c>
      <c r="B208" t="s" s="34">
        <v>87</v>
      </c>
      <c r="C208" s="71">
        <v>2550</v>
      </c>
      <c r="D208" s="28">
        <f t="shared" si="18"/>
      </c>
      <c r="E208" s="31">
        <f t="shared" si="15"/>
      </c>
      <c r="F208" s="63">
        <f t="shared" si="19"/>
      </c>
      <c r="G208" s="64">
        <f t="shared" si="20"/>
      </c>
    </row>
    <row r="209" spans="1:7" ht="16">
      <c r="A209" s="70">
        <f t="shared" si="17"/>
      </c>
      <c r="B209" t="s" s="34">
        <v>88</v>
      </c>
      <c r="C209" s="71">
        <v>1700</v>
      </c>
      <c r="D209" s="28">
        <f t="shared" si="18"/>
      </c>
      <c r="E209" s="31">
        <f t="shared" si="15"/>
      </c>
      <c r="F209" s="63">
        <f t="shared" si="19"/>
      </c>
      <c r="G209" s="64">
        <f t="shared" si="20"/>
      </c>
    </row>
    <row r="210" spans="1:7" ht="16">
      <c r="A210" s="70">
        <f t="shared" si="17"/>
      </c>
      <c r="B210" t="s" s="34">
        <v>89</v>
      </c>
      <c r="C210" s="71">
        <f>17*150</f>
      </c>
      <c r="D210" s="28">
        <f t="shared" si="18"/>
      </c>
      <c r="E210" s="31">
        <f t="shared" si="15"/>
      </c>
      <c r="F210" s="63">
        <f t="shared" si="19"/>
      </c>
      <c r="G210" s="64">
        <f t="shared" si="20"/>
      </c>
    </row>
    <row r="211" spans="1:7" ht="16">
      <c r="A211" s="70">
        <f t="shared" si="17"/>
      </c>
      <c r="B211" t="s" s="34">
        <v>90</v>
      </c>
      <c r="C211" s="71">
        <f>17*100</f>
      </c>
      <c r="D211" s="28">
        <f t="shared" si="18"/>
      </c>
      <c r="E211" s="31">
        <f t="shared" si="15"/>
      </c>
      <c r="F211" s="63">
        <f t="shared" si="19"/>
      </c>
      <c r="G211" s="64">
        <f t="shared" si="20"/>
      </c>
    </row>
    <row r="212" spans="1:7" ht="16">
      <c r="A212" s="70">
        <f t="shared" si="17"/>
      </c>
      <c r="B212" t="s" s="34">
        <v>91</v>
      </c>
      <c r="C212" s="71">
        <f>C210</f>
      </c>
      <c r="D212" s="28">
        <f t="shared" si="18"/>
      </c>
      <c r="E212" s="31">
        <f t="shared" si="15"/>
      </c>
      <c r="F212" s="63">
        <f t="shared" si="19"/>
      </c>
      <c r="G212" s="64">
        <f t="shared" si="20"/>
      </c>
    </row>
    <row r="213" spans="1:7" ht="16">
      <c r="A213" s="70">
        <f t="shared" si="17"/>
      </c>
      <c r="B213" t="s" s="34">
        <v>92</v>
      </c>
      <c r="C213" s="71">
        <f>17*100</f>
      </c>
      <c r="D213" s="28">
        <f t="shared" si="18"/>
      </c>
      <c r="E213" s="31">
        <f t="shared" si="15"/>
      </c>
      <c r="F213" s="63">
        <f t="shared" si="19"/>
      </c>
      <c r="G213" s="64">
        <f t="shared" si="20"/>
      </c>
    </row>
    <row r="214" spans="1:7" ht="16">
      <c r="A214" s="70">
        <f t="shared" si="17"/>
      </c>
      <c r="B214" t="s" s="34">
        <v>93</v>
      </c>
      <c r="C214" s="35">
        <f>C212</f>
      </c>
      <c r="D214" s="28">
        <f t="shared" si="18"/>
      </c>
      <c r="E214" s="31">
        <f t="shared" si="15"/>
      </c>
      <c r="F214" s="63">
        <f t="shared" si="19"/>
      </c>
      <c r="G214" s="64">
        <f t="shared" si="20"/>
      </c>
    </row>
    <row r="215" spans="1:7" ht="16">
      <c r="A215" s="70">
        <f t="shared" si="17"/>
      </c>
      <c r="B215" t="s" s="34">
        <v>94</v>
      </c>
      <c r="C215" s="71">
        <f>17*100</f>
      </c>
      <c r="D215" s="28">
        <f t="shared" si="18"/>
      </c>
      <c r="E215" s="31">
        <f t="shared" si="15"/>
      </c>
      <c r="F215" s="63">
        <f t="shared" si="19"/>
      </c>
      <c r="G215" s="64">
        <f t="shared" si="20"/>
      </c>
    </row>
    <row r="216" spans="1:7" ht="16">
      <c r="A216" s="70">
        <f t="shared" si="17"/>
      </c>
      <c r="B216" t="s" s="34">
        <v>95</v>
      </c>
      <c r="C216" s="35">
        <f>C214</f>
      </c>
      <c r="D216" s="28">
        <f t="shared" si="18"/>
      </c>
      <c r="E216" s="31">
        <f t="shared" si="15"/>
      </c>
      <c r="F216" s="63">
        <f t="shared" si="19"/>
      </c>
      <c r="G216" s="64">
        <f t="shared" si="20"/>
      </c>
    </row>
    <row r="217" spans="1:7" ht="16">
      <c r="A217" s="70">
        <f t="shared" si="17"/>
      </c>
      <c r="B217" t="s" s="34">
        <v>96</v>
      </c>
      <c r="C217" s="71">
        <f>17*100</f>
      </c>
      <c r="D217" s="28">
        <f t="shared" si="18"/>
      </c>
      <c r="E217" s="31">
        <v>10</v>
      </c>
      <c r="F217" s="63">
        <f t="shared" si="19"/>
      </c>
      <c r="G217" s="40">
        <f t="shared" si="20"/>
      </c>
    </row>
    <row r="218" spans="1:7" ht="16">
      <c r="A218" t="s" s="229">
        <v>97</v>
      </c>
      <c r="B218" s="229"/>
      <c r="C218" s="229"/>
      <c r="D218" s="72">
        <f>SUM(D135:D217)</f>
      </c>
      <c r="E218" s="73"/>
      <c r="F218" s="72">
        <f>SUM(F135:F217)</f>
      </c>
      <c r="G218" s="72">
        <f>SUM(G135:G217)</f>
      </c>
    </row>
    <row r="219" spans="1:7">
      <c r="A219" t="s" s="74">
        <v>98</v>
      </c>
      <c r="B219" s="75"/>
      <c r="C219" s="75"/>
      <c r="D219" s="230"/>
      <c r="E219" s="230"/>
      <c r="F219" s="231"/>
      <c r="G219" s="40">
        <f>G101</f>
      </c>
    </row>
    <row r="220" spans="1:7" ht="23">
      <c r="A220" t="s" s="232">
        <v>99</v>
      </c>
      <c r="B220" s="232"/>
      <c r="C220" s="232"/>
      <c r="D220" s="232"/>
      <c r="E220" s="232"/>
      <c r="F220" s="233"/>
      <c r="G220" s="76">
        <f>G218+G219</f>
      </c>
    </row>
    <row r="221" spans="1:7">
      <c r="A221" t="s" s="46">
        <v>100</v>
      </c>
      <c r="B221" s="4"/>
      <c r="C221" s="4"/>
      <c r="D221" s="47"/>
      <c r="E221" s="48"/>
      <c r="F221" s="49"/>
      <c r="G221" s="50"/>
    </row>
    <row r="222" spans="1:7">
      <c r="A222" s="4"/>
      <c r="B222" s="4"/>
      <c r="C222" s="4"/>
      <c r="D222" s="47"/>
      <c r="E222" s="48"/>
      <c r="F222" s="49"/>
      <c r="G222" s="50"/>
    </row>
    <row r="223" spans="1:7">
      <c r="A223" t="s" s="4">
        <v>101</v>
      </c>
      <c r="B223" s="4"/>
      <c r="C223" t="s" s="4">
        <v>102</v>
      </c>
      <c r="D223" t="s" s="4">
        <v>103</v>
      </c>
      <c r="E223" s="4"/>
      <c r="F223" s="4"/>
      <c r="G223" t="s" s="4">
        <v>104</v>
      </c>
    </row>
    <row r="224" spans="1:7">
      <c r="A224" s="4"/>
      <c r="B224" s="4"/>
      <c r="C224" s="4"/>
      <c r="D224" s="4"/>
      <c r="E224" s="4"/>
      <c r="F224" s="4"/>
      <c r="G224" s="7"/>
    </row>
    <row r="225" spans="1:7">
      <c r="A225" s="77"/>
      <c r="B225" s="77"/>
      <c r="C225" t="s" s="58">
        <v>291</v>
      </c>
      <c r="D225" s="51"/>
      <c r="E225" t="s" s="218">
        <v>122</v>
      </c>
      <c r="F225" s="218"/>
      <c r="G225" t="s" s="51">
        <v>123</v>
      </c>
    </row>
    <row r="226" spans="1:7">
      <c r="A226" t="s" s="234">
        <v>124</v>
      </c>
      <c r="B226" s="234"/>
      <c r="C226" t="s" s="4">
        <v>125</v>
      </c>
      <c r="D226" s="4"/>
      <c r="E226" t="s" s="208">
        <v>126</v>
      </c>
      <c r="F226" s="208"/>
      <c r="G226" t="s" s="7">
        <v>112</v>
      </c>
    </row>
  </sheetData>
  <mergeCells count="38">
    <mergeCell ref="A218:C218"/>
    <mergeCell ref="D219:F219"/>
    <mergeCell ref="A220:F220"/>
    <mergeCell ref="E225:F225"/>
    <mergeCell ref="A226:B226"/>
    <mergeCell ref="E226:F226"/>
    <mergeCell ref="F133:G133"/>
    <mergeCell ref="A117:G117"/>
    <mergeCell ref="A118:G118"/>
    <mergeCell ref="A119:G119"/>
    <mergeCell ref="A120:G120"/>
    <mergeCell ref="A121:G121"/>
    <mergeCell ref="A127:G127"/>
    <mergeCell ref="A128:G128"/>
    <mergeCell ref="A129:B129"/>
    <mergeCell ref="A130:B130"/>
    <mergeCell ref="C132:D132"/>
    <mergeCell ref="F132:G132"/>
    <mergeCell ref="A108:B108"/>
    <mergeCell ref="C108:D108"/>
    <mergeCell ref="E108:F108"/>
    <mergeCell ref="A10:G10"/>
    <mergeCell ref="A11:B11"/>
    <mergeCell ref="A12:B12"/>
    <mergeCell ref="F14:G14"/>
    <mergeCell ref="F15:G15"/>
    <mergeCell ref="A100:C100"/>
    <mergeCell ref="D101:F101"/>
    <mergeCell ref="A102:F102"/>
    <mergeCell ref="A107:B107"/>
    <mergeCell ref="C107:D107"/>
    <mergeCell ref="E107:F107"/>
    <mergeCell ref="A9:G9"/>
    <mergeCell ref="A1:G1"/>
    <mergeCell ref="A2:G2"/>
    <mergeCell ref="A3:G3"/>
    <mergeCell ref="A4:G4"/>
    <mergeCell ref="A5:G5"/>
  </mergeCells>
  <printOptions horizontalCentered="1"/>
  <pageMargins left="0.25" right="0.25" top="0.25" bottom="0.25" header="0.3" footer="0.3"/>
  <pageSetup paperSize="14" scale="54" orientation="portrait" r:id="rId1"/>
  <rowBreaks count="1" manualBreakCount="1">
    <brk id="11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7A88-FF75-44F6-9922-B4F7DC3DB763}">
  <sheetPr/>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t="s" s="200">
        <v>198</v>
      </c>
      <c r="C2" s="201"/>
    </row>
    <row r="3" spans="2:3">
      <c r="B3" t="s" s="139">
        <v>190</v>
      </c>
      <c r="C3" s="146">
        <v>3809</v>
      </c>
    </row>
    <row r="4" spans="2:3">
      <c r="B4" t="s" s="139">
        <v>189</v>
      </c>
      <c r="C4" s="146">
        <f>'00 ACC DETAILS 01'!C4</f>
      </c>
    </row>
    <row r="5" spans="2:3">
      <c r="B5" t="s" s="139">
        <v>197</v>
      </c>
      <c r="C5" s="146">
        <f>'00 ACC DETAILS 01'!C5</f>
      </c>
    </row>
    <row r="6" spans="2:3">
      <c r="B6" t="s" s="139">
        <v>195</v>
      </c>
      <c r="C6" s="146"/>
    </row>
    <row r="7" spans="2:3">
      <c r="B7" t="s" s="147">
        <v>148</v>
      </c>
      <c r="C7" s="146">
        <f>'00 ACC DETAILS 01'!C7</f>
      </c>
    </row>
    <row r="8" spans="2:3">
      <c r="B8" t="s" s="147">
        <v>149</v>
      </c>
      <c r="C8" s="168">
        <f>'00 ACC DETAILS 01'!C8</f>
      </c>
    </row>
    <row r="9" spans="2:3">
      <c r="B9" t="s" s="147">
        <v>188</v>
      </c>
      <c r="C9" s="146">
        <f>'00 ACC DETAILS 01'!C9</f>
      </c>
    </row>
    <row r="10" spans="2:3">
      <c r="B10" t="s" s="139">
        <v>196</v>
      </c>
      <c r="C10" s="146"/>
    </row>
    <row r="11" spans="2:3">
      <c r="B11" t="s" s="147">
        <v>148</v>
      </c>
      <c r="C11" t="s" s="146">
        <v>172</v>
      </c>
    </row>
    <row r="12" spans="2:3">
      <c r="B12" t="s" s="147">
        <v>149</v>
      </c>
      <c r="C12" s="146"/>
    </row>
    <row r="13" spans="2:3">
      <c r="B13" t="s" s="147">
        <v>188</v>
      </c>
      <c r="C13" t="s" s="146">
        <v>171</v>
      </c>
    </row>
    <row r="14" spans="2:3">
      <c r="B14" t="s" s="139">
        <v>134</v>
      </c>
      <c r="C14" s="146"/>
    </row>
    <row r="15" spans="2:3">
      <c r="B15" t="s" s="147">
        <v>191</v>
      </c>
      <c r="C15" s="146">
        <f>'00 ACC DETAILS 01'!C15</f>
      </c>
    </row>
    <row r="16" spans="2:3">
      <c r="B16" t="s" s="147">
        <v>192</v>
      </c>
      <c r="C16" s="146">
        <f>'00 ACC DETAILS 01'!C16</f>
      </c>
    </row>
    <row r="17" spans="1:5">
      <c r="B17" t="s" s="147">
        <v>145</v>
      </c>
      <c r="C17" s="146">
        <f>'00 ACC DETAILS 01'!C17</f>
      </c>
    </row>
    <row r="18" spans="1:5">
      <c r="B18" t="s" s="139">
        <v>193</v>
      </c>
      <c r="C18" s="146"/>
    </row>
    <row r="19" spans="1:5">
      <c r="B19" t="s" s="147">
        <v>191</v>
      </c>
      <c r="C19" s="146">
        <f>'00 ACC DETAILS 01'!C19</f>
      </c>
    </row>
    <row r="20" spans="1:5">
      <c r="B20" t="s" s="147">
        <v>192</v>
      </c>
      <c r="C20" s="146">
        <f>'00 ACC DETAILS 01'!C20</f>
      </c>
    </row>
    <row r="21" spans="1:5">
      <c r="B21" t="s" s="147">
        <v>145</v>
      </c>
      <c r="C21" s="146">
        <f>'00 ACC DETAILS 01'!C21</f>
      </c>
    </row>
    <row r="22" spans="1:5">
      <c r="B22" t="s" s="139">
        <v>194</v>
      </c>
      <c r="C22" s="146"/>
    </row>
    <row r="23" spans="1:5">
      <c r="B23" t="s" s="147">
        <v>191</v>
      </c>
      <c r="C23" s="146">
        <f>'00 ACC DETAILS 01'!C23</f>
      </c>
    </row>
    <row r="24" spans="1:5">
      <c r="B24" t="s" s="147">
        <v>192</v>
      </c>
      <c r="C24" s="146">
        <f>'00 ACC DETAILS 01'!C24</f>
      </c>
    </row>
    <row r="25" spans="1:5" ht="16" thickBot="1">
      <c r="B25" t="s" s="148">
        <v>145</v>
      </c>
      <c r="C25" s="166">
        <f>'00 ACC DETAILS 01'!C25</f>
      </c>
    </row>
    <row r="26" spans="1:5">
      <c r="C26" s="167"/>
    </row>
    <row r="28" spans="1:5" ht="16" thickBot="1">
      <c r="A28" t="s" s="106">
        <v>201</v>
      </c>
    </row>
    <row r="29" spans="1:5" ht="16" thickBot="1">
      <c r="A29" s="154"/>
      <c r="B29" t="s" s="156">
        <v>199</v>
      </c>
      <c r="C29" t="s" s="157">
        <v>200</v>
      </c>
      <c r="D29" t="s" s="157">
        <v>7</v>
      </c>
      <c r="E29" s="155"/>
    </row>
    <row r="30" spans="1:5" ht="16">
      <c r="A30" s="150">
        <v>1</v>
      </c>
      <c r="B30" s="151"/>
      <c r="C30" s="151"/>
      <c r="D30" s="152"/>
      <c r="E30" s="153">
        <f>IF(ISBLANK(B30),0,IF(C30&lt;2000,RIGHT(C30,2),C30)&amp;"-"&amp;IF(B30="wet","W","D"))</f>
      </c>
    </row>
    <row r="31" spans="1:5" ht="16">
      <c r="A31" s="139">
        <v>2</v>
      </c>
      <c r="B31" s="135"/>
      <c r="C31" s="135"/>
      <c r="D31" s="136"/>
      <c r="E31" s="140">
        <f t="shared" ref="E31:E94" si="0">IF(ISBLANK(B31),0,IF(C31&lt;2000,RIGHT(C31,2),C31)&amp;"-"&amp;IF(B31="wet","W","D"))</f>
      </c>
    </row>
    <row r="32" spans="1:5" ht="16">
      <c r="A32" s="139">
        <v>3</v>
      </c>
      <c r="B32" s="135"/>
      <c r="C32" s="135"/>
      <c r="D32" s="136"/>
      <c r="E32" s="140">
        <f t="shared" si="0"/>
      </c>
    </row>
    <row r="33" spans="1:5" ht="16">
      <c r="A33" s="139">
        <v>4</v>
      </c>
      <c r="B33" s="135"/>
      <c r="C33" s="135"/>
      <c r="D33" s="136"/>
      <c r="E33" s="140">
        <f t="shared" si="0"/>
      </c>
    </row>
    <row r="34" spans="1:5" ht="16">
      <c r="A34" s="139">
        <v>5</v>
      </c>
      <c r="B34" s="135"/>
      <c r="C34" s="135"/>
      <c r="D34" s="136"/>
      <c r="E34" s="140">
        <f t="shared" si="0"/>
      </c>
    </row>
    <row r="35" spans="1:5" ht="16">
      <c r="A35" s="139">
        <v>6</v>
      </c>
      <c r="B35" s="135"/>
      <c r="C35" s="135"/>
      <c r="D35" s="136"/>
      <c r="E35" s="140">
        <f t="shared" si="0"/>
      </c>
    </row>
    <row r="36" spans="1:5" ht="16">
      <c r="A36" s="139">
        <v>7</v>
      </c>
      <c r="B36" s="135"/>
      <c r="C36" s="135"/>
      <c r="D36" s="136"/>
      <c r="E36" s="140">
        <f t="shared" si="0"/>
      </c>
    </row>
    <row r="37" spans="1:5" ht="16">
      <c r="A37" s="139">
        <v>8</v>
      </c>
      <c r="B37" s="135"/>
      <c r="C37" s="135"/>
      <c r="D37" s="136"/>
      <c r="E37" s="140">
        <f t="shared" si="0"/>
      </c>
    </row>
    <row r="38" spans="1:5" ht="16">
      <c r="A38" s="139">
        <v>9</v>
      </c>
      <c r="B38" s="135"/>
      <c r="C38" s="135"/>
      <c r="D38" s="136"/>
      <c r="E38" s="140">
        <f t="shared" si="0"/>
      </c>
    </row>
    <row r="39" spans="1:5" ht="16">
      <c r="A39" s="139">
        <v>10</v>
      </c>
      <c r="B39" s="135"/>
      <c r="C39" s="135"/>
      <c r="D39" s="136"/>
      <c r="E39" s="140">
        <f t="shared" si="0"/>
      </c>
    </row>
    <row r="40" spans="1:5" ht="16">
      <c r="A40" s="139">
        <v>11</v>
      </c>
      <c r="B40" s="135"/>
      <c r="C40" s="135"/>
      <c r="D40" s="136"/>
      <c r="E40" s="140">
        <f t="shared" si="0"/>
      </c>
    </row>
    <row r="41" spans="1:5" ht="16">
      <c r="A41" s="139">
        <v>12</v>
      </c>
      <c r="B41" s="135"/>
      <c r="C41" s="135"/>
      <c r="D41" s="136"/>
      <c r="E41" s="140">
        <f t="shared" si="0"/>
      </c>
    </row>
    <row r="42" spans="1:5" ht="16">
      <c r="A42" s="139">
        <v>13</v>
      </c>
      <c r="B42" s="135"/>
      <c r="C42" s="135"/>
      <c r="D42" s="136"/>
      <c r="E42" s="140">
        <f t="shared" si="0"/>
      </c>
    </row>
    <row r="43" spans="1:5" ht="16">
      <c r="A43" s="139">
        <v>14</v>
      </c>
      <c r="B43" s="135"/>
      <c r="C43" s="135"/>
      <c r="D43" s="136"/>
      <c r="E43" s="140">
        <f t="shared" si="0"/>
      </c>
    </row>
    <row r="44" spans="1:5" ht="16">
      <c r="A44" s="139">
        <v>15</v>
      </c>
      <c r="B44" s="135"/>
      <c r="C44" s="135"/>
      <c r="D44" s="136"/>
      <c r="E44" s="140">
        <f t="shared" si="0"/>
      </c>
    </row>
    <row r="45" spans="1:5" ht="16">
      <c r="A45" s="139">
        <v>16</v>
      </c>
      <c r="B45" s="135"/>
      <c r="C45" s="135"/>
      <c r="D45" s="136"/>
      <c r="E45" s="140">
        <f t="shared" si="0"/>
      </c>
    </row>
    <row r="46" spans="1:5" ht="16">
      <c r="A46" s="139">
        <v>17</v>
      </c>
      <c r="B46" s="135"/>
      <c r="C46" s="135"/>
      <c r="D46" s="136"/>
      <c r="E46" s="140">
        <f t="shared" si="0"/>
      </c>
    </row>
    <row r="47" spans="1:5" ht="16">
      <c r="A47" s="139">
        <v>18</v>
      </c>
      <c r="B47" s="135"/>
      <c r="C47" s="135"/>
      <c r="D47" s="136"/>
      <c r="E47" s="140">
        <f t="shared" si="0"/>
      </c>
    </row>
    <row r="48" spans="1:5" ht="16">
      <c r="A48" s="139">
        <v>19</v>
      </c>
      <c r="B48" s="135"/>
      <c r="C48" s="135"/>
      <c r="D48" s="136"/>
      <c r="E48" s="140">
        <f t="shared" si="0"/>
      </c>
    </row>
    <row r="49" spans="1:5" ht="16">
      <c r="A49" s="139">
        <v>20</v>
      </c>
      <c r="B49" s="135"/>
      <c r="C49" s="135"/>
      <c r="D49" s="136"/>
      <c r="E49" s="140">
        <f t="shared" si="0"/>
      </c>
    </row>
    <row r="50" spans="1:5" ht="16">
      <c r="A50" s="139">
        <v>21</v>
      </c>
      <c r="B50" s="135"/>
      <c r="C50" s="135"/>
      <c r="D50" s="136"/>
      <c r="E50" s="140">
        <f t="shared" si="0"/>
      </c>
    </row>
    <row r="51" spans="1:5" ht="16">
      <c r="A51" s="139">
        <v>22</v>
      </c>
      <c r="B51" s="135"/>
      <c r="C51" s="135"/>
      <c r="D51" s="136"/>
      <c r="E51" s="140">
        <f t="shared" si="0"/>
      </c>
    </row>
    <row r="52" spans="1:5" ht="16">
      <c r="A52" s="139">
        <v>23</v>
      </c>
      <c r="B52" s="135"/>
      <c r="C52" s="135"/>
      <c r="D52" s="136"/>
      <c r="E52" s="140">
        <f t="shared" si="0"/>
      </c>
    </row>
    <row r="53" spans="1:5" ht="16">
      <c r="A53" s="139">
        <v>24</v>
      </c>
      <c r="B53" s="135"/>
      <c r="C53" s="135"/>
      <c r="D53" s="136"/>
      <c r="E53" s="140">
        <f t="shared" si="0"/>
      </c>
    </row>
    <row r="54" spans="1:5" ht="16">
      <c r="A54" s="139">
        <v>25</v>
      </c>
      <c r="B54" s="135"/>
      <c r="C54" s="135"/>
      <c r="D54" s="136"/>
      <c r="E54" s="140">
        <f t="shared" si="0"/>
      </c>
    </row>
    <row r="55" spans="1:5" ht="16">
      <c r="A55" s="139">
        <v>26</v>
      </c>
      <c r="B55" s="135"/>
      <c r="C55" s="135"/>
      <c r="D55" s="136"/>
      <c r="E55" s="140">
        <f t="shared" si="0"/>
      </c>
    </row>
    <row r="56" spans="1:5" ht="16">
      <c r="A56" s="139">
        <v>27</v>
      </c>
      <c r="B56" s="135"/>
      <c r="C56" s="135"/>
      <c r="D56" s="136"/>
      <c r="E56" s="140">
        <f t="shared" si="0"/>
      </c>
    </row>
    <row r="57" spans="1:5" ht="16">
      <c r="A57" s="139">
        <v>28</v>
      </c>
      <c r="B57" s="135"/>
      <c r="C57" s="135"/>
      <c r="D57" s="136"/>
      <c r="E57" s="140">
        <f t="shared" si="0"/>
      </c>
    </row>
    <row r="58" spans="1:5" ht="16">
      <c r="A58" s="139">
        <v>29</v>
      </c>
      <c r="B58" s="135"/>
      <c r="C58" s="135"/>
      <c r="D58" s="136"/>
      <c r="E58" s="140">
        <f t="shared" si="0"/>
      </c>
    </row>
    <row r="59" spans="1:5" ht="16">
      <c r="A59" s="139">
        <v>30</v>
      </c>
      <c r="B59" s="135"/>
      <c r="C59" s="135"/>
      <c r="D59" s="136"/>
      <c r="E59" s="140">
        <f t="shared" si="0"/>
      </c>
    </row>
    <row r="60" spans="1:5" ht="16">
      <c r="A60" s="139">
        <v>31</v>
      </c>
      <c r="B60" s="135"/>
      <c r="C60" s="135"/>
      <c r="D60" s="136"/>
      <c r="E60" s="140">
        <f t="shared" si="0"/>
      </c>
    </row>
    <row r="61" spans="1:5" ht="16">
      <c r="A61" s="139">
        <v>32</v>
      </c>
      <c r="B61" s="135"/>
      <c r="C61" s="135"/>
      <c r="D61" s="136"/>
      <c r="E61" s="140">
        <f t="shared" si="0"/>
      </c>
    </row>
    <row r="62" spans="1:5" ht="16">
      <c r="A62" s="139">
        <v>33</v>
      </c>
      <c r="B62" s="135"/>
      <c r="C62" s="135"/>
      <c r="D62" s="136"/>
      <c r="E62" s="140">
        <f t="shared" si="0"/>
      </c>
    </row>
    <row r="63" spans="1:5" ht="16">
      <c r="A63" s="139">
        <v>34</v>
      </c>
      <c r="B63" s="135"/>
      <c r="C63" s="135"/>
      <c r="D63" s="136"/>
      <c r="E63" s="140">
        <f t="shared" si="0"/>
      </c>
    </row>
    <row r="64" spans="1:5" ht="16">
      <c r="A64" s="139">
        <v>35</v>
      </c>
      <c r="B64" s="135"/>
      <c r="C64" s="135"/>
      <c r="D64" s="136"/>
      <c r="E64" s="140">
        <f t="shared" si="0"/>
      </c>
    </row>
    <row r="65" spans="1:5" ht="16">
      <c r="A65" s="139">
        <v>36</v>
      </c>
      <c r="B65" s="135"/>
      <c r="C65" s="135"/>
      <c r="D65" s="136"/>
      <c r="E65" s="140">
        <f t="shared" si="0"/>
      </c>
    </row>
    <row r="66" spans="1:5" ht="16">
      <c r="A66" s="139">
        <v>37</v>
      </c>
      <c r="B66" s="135"/>
      <c r="C66" s="135"/>
      <c r="D66" s="136"/>
      <c r="E66" s="140">
        <f t="shared" si="0"/>
      </c>
    </row>
    <row r="67" spans="1:5" ht="16">
      <c r="A67" s="139">
        <v>38</v>
      </c>
      <c r="B67" s="135"/>
      <c r="C67" s="135"/>
      <c r="D67" s="136"/>
      <c r="E67" s="140">
        <f t="shared" si="0"/>
      </c>
    </row>
    <row r="68" spans="1:5" ht="16">
      <c r="A68" s="139">
        <v>39</v>
      </c>
      <c r="B68" s="135"/>
      <c r="C68" s="135"/>
      <c r="D68" s="136"/>
      <c r="E68" s="140">
        <f t="shared" si="0"/>
      </c>
    </row>
    <row r="69" spans="1:5" ht="16">
      <c r="A69" s="139">
        <v>40</v>
      </c>
      <c r="B69" s="135"/>
      <c r="C69" s="135"/>
      <c r="D69" s="136"/>
      <c r="E69" s="140">
        <f t="shared" si="0"/>
      </c>
    </row>
    <row r="70" spans="1:5" ht="16">
      <c r="A70" s="139">
        <v>41</v>
      </c>
      <c r="B70" s="138"/>
      <c r="C70" s="138"/>
      <c r="D70" s="137"/>
      <c r="E70" s="140">
        <f t="shared" si="0"/>
      </c>
    </row>
    <row r="71" spans="1:5" ht="16">
      <c r="A71" s="139">
        <v>42</v>
      </c>
      <c r="B71" s="138"/>
      <c r="C71" s="138"/>
      <c r="D71" s="137"/>
      <c r="E71" s="140">
        <f t="shared" si="0"/>
      </c>
    </row>
    <row r="72" spans="1:5" ht="16">
      <c r="A72" s="139">
        <v>43</v>
      </c>
      <c r="B72" s="138"/>
      <c r="C72" s="138"/>
      <c r="D72" s="137"/>
      <c r="E72" s="140">
        <f t="shared" si="0"/>
      </c>
    </row>
    <row r="73" spans="1:5" ht="16">
      <c r="A73" s="139">
        <v>44</v>
      </c>
      <c r="B73" s="138"/>
      <c r="C73" s="138"/>
      <c r="D73" s="137"/>
      <c r="E73" s="140">
        <f t="shared" si="0"/>
      </c>
    </row>
    <row r="74" spans="1:5" ht="16">
      <c r="A74" s="139">
        <v>45</v>
      </c>
      <c r="B74" s="138"/>
      <c r="C74" s="138"/>
      <c r="D74" s="137"/>
      <c r="E74" s="140">
        <f t="shared" si="0"/>
      </c>
    </row>
    <row r="75" spans="1:5" ht="16">
      <c r="A75" s="139">
        <v>46</v>
      </c>
      <c r="B75" s="138"/>
      <c r="C75" s="138"/>
      <c r="D75" s="137"/>
      <c r="E75" s="140">
        <f t="shared" si="0"/>
      </c>
    </row>
    <row r="76" spans="1:5" ht="16">
      <c r="A76" s="139">
        <v>47</v>
      </c>
      <c r="B76" s="138"/>
      <c r="C76" s="138"/>
      <c r="D76" s="137"/>
      <c r="E76" s="140">
        <f t="shared" si="0"/>
      </c>
    </row>
    <row r="77" spans="1:5" ht="16">
      <c r="A77" s="139">
        <v>48</v>
      </c>
      <c r="B77" s="138"/>
      <c r="C77" s="138"/>
      <c r="D77" s="137"/>
      <c r="E77" s="140">
        <f t="shared" si="0"/>
      </c>
    </row>
    <row r="78" spans="1:5" ht="16">
      <c r="A78" s="139">
        <v>49</v>
      </c>
      <c r="B78" s="138"/>
      <c r="C78" s="138"/>
      <c r="D78" s="137"/>
      <c r="E78" s="140">
        <f t="shared" si="0"/>
      </c>
    </row>
    <row r="79" spans="1:5" ht="16">
      <c r="A79" s="139">
        <v>50</v>
      </c>
      <c r="B79" s="138"/>
      <c r="C79" s="138"/>
      <c r="D79" s="137"/>
      <c r="E79" s="140">
        <f t="shared" si="0"/>
      </c>
    </row>
    <row r="80" spans="1:5" ht="16">
      <c r="A80" s="139">
        <v>51</v>
      </c>
      <c r="B80" s="138"/>
      <c r="C80" s="138"/>
      <c r="D80" s="137"/>
      <c r="E80" s="140">
        <f t="shared" si="0"/>
      </c>
    </row>
    <row r="81" spans="1:5" ht="16">
      <c r="A81" s="139">
        <v>52</v>
      </c>
      <c r="B81" s="138"/>
      <c r="C81" s="138"/>
      <c r="D81" s="137"/>
      <c r="E81" s="140">
        <f t="shared" si="0"/>
      </c>
    </row>
    <row r="82" spans="1:5" ht="16">
      <c r="A82" s="139">
        <v>53</v>
      </c>
      <c r="B82" s="138"/>
      <c r="C82" s="138"/>
      <c r="D82" s="137"/>
      <c r="E82" s="140">
        <f t="shared" si="0"/>
      </c>
    </row>
    <row r="83" spans="1:5" ht="16">
      <c r="A83" s="139">
        <v>54</v>
      </c>
      <c r="B83" s="138"/>
      <c r="C83" s="138"/>
      <c r="D83" s="137"/>
      <c r="E83" s="140">
        <f t="shared" si="0"/>
      </c>
    </row>
    <row r="84" spans="1:5" ht="16">
      <c r="A84" s="139">
        <v>55</v>
      </c>
      <c r="B84" s="138"/>
      <c r="C84" s="138"/>
      <c r="D84" s="137"/>
      <c r="E84" s="140">
        <f t="shared" si="0"/>
      </c>
    </row>
    <row r="85" spans="1:5" ht="16">
      <c r="A85" s="139">
        <v>56</v>
      </c>
      <c r="B85" s="138"/>
      <c r="C85" s="138"/>
      <c r="D85" s="137"/>
      <c r="E85" s="140">
        <f t="shared" si="0"/>
      </c>
    </row>
    <row r="86" spans="1:5" ht="16">
      <c r="A86" s="139">
        <v>57</v>
      </c>
      <c r="B86" s="138"/>
      <c r="C86" s="138"/>
      <c r="D86" s="137"/>
      <c r="E86" s="140">
        <f t="shared" si="0"/>
      </c>
    </row>
    <row r="87" spans="1:5" ht="16">
      <c r="A87" s="139">
        <v>58</v>
      </c>
      <c r="B87" s="138"/>
      <c r="C87" s="138"/>
      <c r="D87" s="137"/>
      <c r="E87" s="140">
        <f t="shared" si="0"/>
      </c>
    </row>
    <row r="88" spans="1:5" ht="16">
      <c r="A88" s="139">
        <v>59</v>
      </c>
      <c r="B88" s="138"/>
      <c r="C88" s="138"/>
      <c r="D88" s="137"/>
      <c r="E88" s="140">
        <f t="shared" si="0"/>
      </c>
    </row>
    <row r="89" spans="1:5" ht="16">
      <c r="A89" s="139">
        <v>60</v>
      </c>
      <c r="B89" s="138"/>
      <c r="C89" s="138"/>
      <c r="D89" s="137"/>
      <c r="E89" s="140">
        <f t="shared" si="0"/>
      </c>
    </row>
    <row r="90" spans="1:5" ht="16">
      <c r="A90" s="139">
        <v>61</v>
      </c>
      <c r="B90" s="138"/>
      <c r="C90" s="138"/>
      <c r="D90" s="137"/>
      <c r="E90" s="140">
        <f t="shared" si="0"/>
      </c>
    </row>
    <row r="91" spans="1:5" ht="16">
      <c r="A91" s="139">
        <v>62</v>
      </c>
      <c r="B91" s="138"/>
      <c r="C91" s="138"/>
      <c r="D91" s="137"/>
      <c r="E91" s="140">
        <f t="shared" si="0"/>
      </c>
    </row>
    <row r="92" spans="1:5" ht="16">
      <c r="A92" s="139">
        <v>63</v>
      </c>
      <c r="B92" s="138"/>
      <c r="C92" s="138"/>
      <c r="D92" s="137"/>
      <c r="E92" s="140">
        <f t="shared" si="0"/>
      </c>
    </row>
    <row r="93" spans="1:5" ht="16">
      <c r="A93" s="139">
        <v>64</v>
      </c>
      <c r="B93" s="138"/>
      <c r="C93" s="138"/>
      <c r="D93" s="137"/>
      <c r="E93" s="140">
        <f t="shared" si="0"/>
      </c>
    </row>
    <row r="94" spans="1:5" ht="16">
      <c r="A94" s="139">
        <v>65</v>
      </c>
      <c r="B94" s="138"/>
      <c r="C94" s="138"/>
      <c r="D94" s="137"/>
      <c r="E94" s="140">
        <f t="shared" si="0"/>
      </c>
    </row>
    <row r="95" spans="1:5" ht="16">
      <c r="A95" s="139">
        <v>66</v>
      </c>
      <c r="B95" s="138"/>
      <c r="C95" s="138"/>
      <c r="D95" s="137"/>
      <c r="E95" s="140">
        <f t="shared" ref="E95:E112" si="1">IF(ISBLANK(B95),0,IF(C95&lt;2000,RIGHT(C95,2),C95)&amp;"-"&amp;IF(B95="wet","W","D"))</f>
      </c>
    </row>
    <row r="96" spans="1:5" ht="16">
      <c r="A96" s="139">
        <v>67</v>
      </c>
      <c r="B96" s="138"/>
      <c r="C96" s="138"/>
      <c r="D96" s="137"/>
      <c r="E96" s="140">
        <f t="shared" si="1"/>
      </c>
    </row>
    <row r="97" spans="1:5" ht="16">
      <c r="A97" s="139">
        <v>68</v>
      </c>
      <c r="B97" s="138"/>
      <c r="C97" s="138"/>
      <c r="D97" s="137"/>
      <c r="E97" s="140">
        <f t="shared" si="1"/>
      </c>
    </row>
    <row r="98" spans="1:5" ht="16">
      <c r="A98" s="139">
        <v>69</v>
      </c>
      <c r="B98" s="138"/>
      <c r="C98" s="138"/>
      <c r="D98" s="137"/>
      <c r="E98" s="140">
        <f t="shared" si="1"/>
      </c>
    </row>
    <row r="99" spans="1:5" ht="16">
      <c r="A99" s="139">
        <v>70</v>
      </c>
      <c r="B99" s="138"/>
      <c r="C99" s="138"/>
      <c r="D99" s="137"/>
      <c r="E99" s="140">
        <f t="shared" si="1"/>
      </c>
    </row>
    <row r="100" spans="1:5" ht="16">
      <c r="A100" s="139">
        <v>71</v>
      </c>
      <c r="B100" s="138"/>
      <c r="C100" s="138"/>
      <c r="D100" s="137"/>
      <c r="E100" s="140">
        <f t="shared" si="1"/>
      </c>
    </row>
    <row r="101" spans="1:5" ht="16">
      <c r="A101" s="139">
        <v>72</v>
      </c>
      <c r="B101" s="138"/>
      <c r="C101" s="138"/>
      <c r="D101" s="137"/>
      <c r="E101" s="140">
        <f t="shared" si="1"/>
      </c>
    </row>
    <row r="102" spans="1:5" ht="16">
      <c r="A102" s="139">
        <v>73</v>
      </c>
      <c r="B102" s="138"/>
      <c r="C102" s="138"/>
      <c r="D102" s="137"/>
      <c r="E102" s="140">
        <f t="shared" si="1"/>
      </c>
    </row>
    <row r="103" spans="1:5" ht="16">
      <c r="A103" s="139">
        <v>74</v>
      </c>
      <c r="B103" s="138"/>
      <c r="C103" s="138"/>
      <c r="D103" s="137"/>
      <c r="E103" s="140">
        <f t="shared" si="1"/>
      </c>
    </row>
    <row r="104" spans="1:5" ht="16">
      <c r="A104" s="139">
        <v>75</v>
      </c>
      <c r="B104" s="138"/>
      <c r="C104" s="138"/>
      <c r="D104" s="137"/>
      <c r="E104" s="140">
        <f t="shared" si="1"/>
      </c>
    </row>
    <row r="105" spans="1:5" ht="16">
      <c r="A105" s="139">
        <v>76</v>
      </c>
      <c r="B105" s="138"/>
      <c r="C105" s="138"/>
      <c r="D105" s="137"/>
      <c r="E105" s="140">
        <f t="shared" si="1"/>
      </c>
    </row>
    <row r="106" spans="1:5" ht="16">
      <c r="A106" s="139">
        <v>77</v>
      </c>
      <c r="B106" s="138"/>
      <c r="C106" s="138"/>
      <c r="D106" s="137"/>
      <c r="E106" s="140">
        <f t="shared" si="1"/>
      </c>
    </row>
    <row r="107" spans="1:5" ht="16">
      <c r="A107" s="139">
        <v>78</v>
      </c>
      <c r="B107" s="138"/>
      <c r="C107" s="138"/>
      <c r="D107" s="137"/>
      <c r="E107" s="140">
        <f t="shared" si="1"/>
      </c>
    </row>
    <row r="108" spans="1:5" ht="16">
      <c r="A108" s="139">
        <v>79</v>
      </c>
      <c r="B108" s="138"/>
      <c r="C108" s="138"/>
      <c r="D108" s="137"/>
      <c r="E108" s="140">
        <f t="shared" si="1"/>
      </c>
    </row>
    <row r="109" spans="1:5" ht="16">
      <c r="A109" s="139">
        <v>80</v>
      </c>
      <c r="B109" s="138"/>
      <c r="C109" s="138"/>
      <c r="D109" s="137"/>
      <c r="E109" s="140">
        <f t="shared" si="1"/>
      </c>
    </row>
    <row r="110" spans="1:5" ht="16">
      <c r="A110" s="139">
        <v>81</v>
      </c>
      <c r="B110" s="138"/>
      <c r="C110" s="138"/>
      <c r="D110" s="137"/>
      <c r="E110" s="140">
        <f t="shared" si="1"/>
      </c>
    </row>
    <row r="111" spans="1:5" ht="16">
      <c r="A111" s="139">
        <v>82</v>
      </c>
      <c r="B111" s="138"/>
      <c r="C111" s="138"/>
      <c r="D111" s="137"/>
      <c r="E111" s="140">
        <f t="shared" si="1"/>
      </c>
    </row>
    <row r="112" spans="1:5" ht="17" thickBot="1">
      <c r="A112" s="141">
        <v>83</v>
      </c>
      <c r="B112" s="142"/>
      <c r="C112" s="142"/>
      <c r="D112" s="143"/>
      <c r="E112" s="144">
        <f t="shared" si="1"/>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F8E8-DA56-4E47-B656-681B8D59D214}">
  <sheetPr/>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21"/>
      <c r="B1" s="221"/>
      <c r="C1" s="221"/>
      <c r="D1" s="221"/>
      <c r="E1" s="221"/>
      <c r="F1" s="221"/>
      <c r="G1" s="221"/>
    </row>
    <row r="2" spans="1:7" ht="23">
      <c r="A2" s="222"/>
      <c r="B2" s="222"/>
      <c r="C2" s="222"/>
      <c r="D2" s="222"/>
      <c r="E2" s="222"/>
      <c r="F2" s="222"/>
      <c r="G2" s="222"/>
    </row>
    <row r="3" spans="1:7">
      <c r="A3" s="223"/>
      <c r="B3" s="223"/>
      <c r="C3" s="223"/>
      <c r="D3" s="223"/>
      <c r="E3" s="223"/>
      <c r="F3" s="223"/>
      <c r="G3" s="223"/>
    </row>
    <row r="4" spans="1:7" ht="16">
      <c r="A4" s="224"/>
      <c r="B4" s="224"/>
      <c r="C4" s="224"/>
      <c r="D4" s="224"/>
      <c r="E4" s="224"/>
      <c r="F4" s="224"/>
      <c r="G4" s="224"/>
    </row>
    <row r="5" spans="1:7">
      <c r="A5" s="225"/>
      <c r="B5" s="225"/>
      <c r="C5" s="225"/>
      <c r="D5" s="225"/>
      <c r="E5" s="225"/>
      <c r="F5" s="225"/>
      <c r="G5" s="225"/>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t="s" s="202">
        <v>0</v>
      </c>
      <c r="B11" s="202"/>
      <c r="C11" s="202"/>
      <c r="D11" s="202"/>
      <c r="E11" s="202"/>
      <c r="F11" s="202"/>
      <c r="G11" s="202"/>
    </row>
    <row r="12" spans="1:7">
      <c r="A12" s="209">
        <f ca="1">"as of "&amp;TEXT(TODAY(),"mmmm dd, yyyy")</f>
      </c>
      <c r="B12" s="209"/>
      <c r="C12" s="209"/>
      <c r="D12" s="209"/>
      <c r="E12" s="209"/>
      <c r="F12" s="209"/>
      <c r="G12" s="209"/>
    </row>
    <row r="13" spans="1:7">
      <c r="A13" s="210"/>
      <c r="B13" s="210"/>
      <c r="C13" s="6"/>
      <c r="D13" s="7"/>
      <c r="E13" s="4"/>
      <c r="F13" s="7"/>
      <c r="G13" s="7"/>
    </row>
    <row r="14" spans="1:7" ht="20">
      <c r="A14" t="s" s="211">
        <v>1</v>
      </c>
      <c r="B14" s="211"/>
      <c r="C14" s="8"/>
      <c r="D14" s="9"/>
      <c r="E14" s="10"/>
      <c r="F14" t="s" s="11">
        <v>2</v>
      </c>
      <c r="G14" s="12">
        <f>'00 ACC DETAILS 02'!C4&amp;" - "&amp;'00 ACC DETAILS 02'!C5</f>
      </c>
    </row>
    <row r="15" spans="1:7" ht="20">
      <c r="A15" t="s" s="10">
        <v>3</v>
      </c>
      <c r="B15" s="13"/>
      <c r="C15" s="14">
        <f>'00 ACC DETAILS 02'!C3</f>
      </c>
      <c r="D15" s="9"/>
      <c r="E15" s="10"/>
      <c r="F15" t="s" s="11">
        <v>4</v>
      </c>
      <c cm="1" r="G15" s="15">
        <f t="array" ref="G15">IFERROR(0,LOOKUP(2,1/(A19:A101),A19:A101))</f>
      </c>
    </row>
    <row r="16" spans="1:7">
      <c r="A16" t="s" s="10">
        <v>5</v>
      </c>
      <c r="B16" s="16"/>
      <c r="C16" s="17">
        <f>IF(ISBLANK('00 ACC DETAILS 01'!C8),'00 ACC DETAILS 01'!C7&amp;" "&amp;'00 ACC DETAILS 01'!C9,'00 ACC DETAILS 01'!C7&amp;" "&amp;'00 ACC DETAILS 01'!C8&amp;" "&amp;'00 ACC DETAILS 01'!C9)</f>
      </c>
      <c r="D16" s="17"/>
      <c r="E16" t="s" s="10">
        <v>6</v>
      </c>
      <c r="F16" s="212"/>
      <c r="G16" s="212"/>
    </row>
    <row r="17" spans="1:7" ht="16" thickBot="1">
      <c r="A17" t="s" s="10">
        <v>288</v>
      </c>
      <c r="B17" s="10"/>
      <c r="C17" s="17">
        <f>IF(ISBLANK('00 ACC DETAILS 02'!C12),'00 ACC DETAILS 02'!C11&amp;" "&amp;'00 ACC DETAILS 02'!C13,'00 ACC DETAILS 02'!C11&amp;" "&amp;'00 ACC DETAILS 02'!C12&amp;" "&amp;'00 ACC DETAILS 02'!C13)</f>
      </c>
      <c r="D17" s="18"/>
      <c r="E17" t="s" s="10">
        <v>6</v>
      </c>
      <c r="F17" s="212"/>
      <c r="G17" s="212"/>
    </row>
    <row r="18" spans="1:7" ht="16" thickBot="1">
      <c r="A18" t="s" s="19">
        <v>7</v>
      </c>
      <c r="B18" t="s" s="20">
        <v>8</v>
      </c>
      <c r="C18" t="s" s="20">
        <v>9</v>
      </c>
      <c r="D18" t="s" s="20">
        <v>10</v>
      </c>
      <c r="E18" t="s" s="21">
        <v>11</v>
      </c>
      <c r="F18" t="s" s="20">
        <v>12</v>
      </c>
      <c r="G18" t="s" s="20">
        <v>13</v>
      </c>
    </row>
    <row r="19" spans="1:7">
      <c r="A19" s="133">
        <f>IFERROR((LOOKUP(MATCH(B19,'00 ACC DETAILS 02'!$E$30:$E$112,0),'00 ACC DETAILS 02'!$A$30:$A$112,'00 ACC DETAILS 02'!$D$30:$D$112)),0)</f>
      </c>
      <c r="B19" t="s" s="22">
        <v>14</v>
      </c>
      <c r="C19" s="23">
        <f>15*100</f>
      </c>
      <c r="D19" s="23">
        <f t="shared" ref="D19:D82" si="0">A19*C19</f>
      </c>
      <c r="E19" s="24">
        <f>E21+12</f>
      </c>
      <c r="F19" s="25">
        <f t="shared" ref="F19:F82" si="1">D19*E19/100</f>
      </c>
      <c r="G19" s="26">
        <f t="shared" ref="G19:G82" si="2">D19+F19</f>
      </c>
    </row>
    <row r="20" spans="1:7">
      <c r="A20" s="133">
        <f>IFERROR((LOOKUP(MATCH(B20,'00 ACC DETAILS 02'!$E$30:$E$112,0),'00 ACC DETAILS 02'!$A$30:$A$112,'00 ACC DETAILS 02'!$D$30:$D$112)),0)</f>
      </c>
      <c r="B20" t="s" s="27">
        <v>15</v>
      </c>
      <c r="C20" s="28">
        <f>15*150</f>
      </c>
      <c r="D20" s="23">
        <f t="shared" si="0"/>
      </c>
      <c r="E20" s="29">
        <f>E22+12</f>
      </c>
      <c r="F20" s="25">
        <f t="shared" si="1"/>
      </c>
      <c r="G20" s="26">
        <f t="shared" si="2"/>
      </c>
    </row>
    <row r="21" spans="1:7">
      <c r="A21" s="133">
        <f>IFERROR((LOOKUP(MATCH(B21,'00 ACC DETAILS 02'!$E$30:$E$112,0),'00 ACC DETAILS 02'!$A$30:$A$112,'00 ACC DETAILS 02'!$D$30:$D$112)),0)</f>
      </c>
      <c r="B21" t="s" s="27">
        <v>16</v>
      </c>
      <c r="C21" s="28">
        <f t="shared" ref="C21:C63" si="3">C19</f>
      </c>
      <c r="D21" s="23">
        <f t="shared" si="0"/>
      </c>
      <c r="E21" s="29">
        <f>E22+12</f>
      </c>
      <c r="F21" s="25">
        <f t="shared" si="1"/>
      </c>
      <c r="G21" s="26">
        <f t="shared" si="2"/>
      </c>
    </row>
    <row r="22" spans="1:7">
      <c r="A22" s="133">
        <f>IFERROR((LOOKUP(MATCH(B22,'00 ACC DETAILS 02'!$E$30:$E$112,0),'00 ACC DETAILS 02'!$A$30:$A$112,'00 ACC DETAILS 02'!$D$30:$D$112)),0)</f>
      </c>
      <c r="B22" t="s" s="27">
        <v>17</v>
      </c>
      <c r="C22" s="28">
        <f t="shared" si="3"/>
      </c>
      <c r="D22" s="23">
        <f t="shared" si="0"/>
      </c>
      <c r="E22" s="29">
        <f>E24+12</f>
      </c>
      <c r="F22" s="25">
        <f t="shared" si="1"/>
      </c>
      <c r="G22" s="26">
        <f t="shared" si="2"/>
      </c>
    </row>
    <row r="23" spans="1:7">
      <c r="A23" s="133">
        <f>IFERROR((LOOKUP(MATCH(B23,'00 ACC DETAILS 02'!$E$30:$E$112,0),'00 ACC DETAILS 02'!$A$30:$A$112,'00 ACC DETAILS 02'!$D$30:$D$112)),0)</f>
      </c>
      <c r="B23" t="s" s="27">
        <v>18</v>
      </c>
      <c r="C23" s="28">
        <f t="shared" si="3"/>
      </c>
      <c r="D23" s="23">
        <f t="shared" si="0"/>
      </c>
      <c r="E23" s="29">
        <f>E24+12</f>
      </c>
      <c r="F23" s="25">
        <f t="shared" si="1"/>
      </c>
      <c r="G23" s="26">
        <f t="shared" si="2"/>
      </c>
    </row>
    <row r="24" spans="1:7">
      <c r="A24" s="133">
        <f>IFERROR((LOOKUP(MATCH(B24,'00 ACC DETAILS 02'!$E$30:$E$112,0),'00 ACC DETAILS 02'!$A$30:$A$112,'00 ACC DETAILS 02'!$D$30:$D$112)),0)</f>
      </c>
      <c r="B24" t="s" s="27">
        <v>19</v>
      </c>
      <c r="C24" s="28">
        <f t="shared" si="3"/>
      </c>
      <c r="D24" s="23">
        <f t="shared" si="0"/>
      </c>
      <c r="E24" s="29">
        <f>E26+6</f>
      </c>
      <c r="F24" s="25">
        <f t="shared" si="1"/>
      </c>
      <c r="G24" s="26">
        <f t="shared" si="2"/>
      </c>
    </row>
    <row r="25" spans="1:7">
      <c r="A25" s="133">
        <f>IFERROR((LOOKUP(MATCH(B25,'00 ACC DETAILS 02'!$E$30:$E$112,0),'00 ACC DETAILS 02'!$A$30:$A$112,'00 ACC DETAILS 02'!$D$30:$D$112)),0)</f>
      </c>
      <c r="B25" t="s" s="27">
        <v>20</v>
      </c>
      <c r="C25" s="28">
        <f t="shared" si="3"/>
      </c>
      <c r="D25" s="23">
        <f t="shared" si="0"/>
      </c>
      <c r="E25" s="29">
        <f t="shared" ref="E25:E88" si="4">E26+6</f>
      </c>
      <c r="F25" s="25">
        <f t="shared" si="1"/>
      </c>
      <c r="G25" s="26">
        <f t="shared" si="2"/>
      </c>
    </row>
    <row r="26" spans="1:7">
      <c r="A26" s="133">
        <f>IFERROR((LOOKUP(MATCH(B26,'00 ACC DETAILS 02'!$E$30:$E$112,0),'00 ACC DETAILS 02'!$A$30:$A$112,'00 ACC DETAILS 02'!$D$30:$D$112)),0)</f>
      </c>
      <c r="B26" t="s" s="27">
        <v>21</v>
      </c>
      <c r="C26" s="28">
        <f t="shared" si="3"/>
      </c>
      <c r="D26" s="23">
        <f t="shared" si="0"/>
      </c>
      <c r="E26" s="29">
        <f t="shared" si="4"/>
      </c>
      <c r="F26" s="25">
        <f t="shared" si="1"/>
      </c>
      <c r="G26" s="26">
        <f t="shared" si="2"/>
      </c>
    </row>
    <row r="27" spans="1:7">
      <c r="A27" s="133">
        <f>IFERROR((LOOKUP(MATCH(B27,'00 ACC DETAILS 02'!$E$30:$E$112,0),'00 ACC DETAILS 02'!$A$30:$A$112,'00 ACC DETAILS 02'!$D$30:$D$112)),0)</f>
      </c>
      <c r="B27" t="s" s="30">
        <v>22</v>
      </c>
      <c r="C27" s="28">
        <f t="shared" si="3"/>
      </c>
      <c r="D27" s="23">
        <f t="shared" si="0"/>
      </c>
      <c r="E27" s="29">
        <f t="shared" si="4"/>
      </c>
      <c r="F27" s="25">
        <f t="shared" si="1"/>
      </c>
      <c r="G27" s="26">
        <f t="shared" si="2"/>
      </c>
    </row>
    <row r="28" spans="1:7">
      <c r="A28" s="133">
        <f>IFERROR((LOOKUP(MATCH(B28,'00 ACC DETAILS 02'!$E$30:$E$112,0),'00 ACC DETAILS 02'!$A$30:$A$112,'00 ACC DETAILS 02'!$D$30:$D$112)),0)</f>
      </c>
      <c r="B28" t="s" s="30">
        <v>23</v>
      </c>
      <c r="C28" s="28">
        <f t="shared" si="3"/>
      </c>
      <c r="D28" s="23">
        <f t="shared" si="0"/>
      </c>
      <c r="E28" s="29">
        <f t="shared" si="4"/>
      </c>
      <c r="F28" s="25">
        <f t="shared" si="1"/>
      </c>
      <c r="G28" s="26">
        <f t="shared" si="2"/>
      </c>
    </row>
    <row r="29" spans="1:7">
      <c r="A29" s="133">
        <f>IFERROR((LOOKUP(MATCH(B29,'00 ACC DETAILS 02'!$E$30:$E$112,0),'00 ACC DETAILS 02'!$A$30:$A$112,'00 ACC DETAILS 02'!$D$30:$D$112)),0)</f>
      </c>
      <c r="B29" t="s" s="30">
        <v>24</v>
      </c>
      <c r="C29" s="28">
        <f t="shared" si="3"/>
      </c>
      <c r="D29" s="23">
        <f t="shared" si="0"/>
      </c>
      <c r="E29" s="29">
        <f t="shared" si="4"/>
      </c>
      <c r="F29" s="25">
        <f t="shared" si="1"/>
      </c>
      <c r="G29" s="26">
        <f t="shared" si="2"/>
      </c>
    </row>
    <row r="30" spans="1:7">
      <c r="A30" s="133">
        <f>IFERROR((LOOKUP(MATCH(B30,'00 ACC DETAILS 02'!$E$30:$E$112,0),'00 ACC DETAILS 02'!$A$30:$A$112,'00 ACC DETAILS 02'!$D$30:$D$112)),0)</f>
      </c>
      <c r="B30" t="s" s="30">
        <v>25</v>
      </c>
      <c r="C30" s="28">
        <f t="shared" si="3"/>
      </c>
      <c r="D30" s="23">
        <f t="shared" si="0"/>
      </c>
      <c r="E30" s="29">
        <f t="shared" si="4"/>
      </c>
      <c r="F30" s="25">
        <f t="shared" si="1"/>
      </c>
      <c r="G30" s="26">
        <f t="shared" si="2"/>
      </c>
    </row>
    <row r="31" spans="1:7">
      <c r="A31" s="133">
        <f>IFERROR((LOOKUP(MATCH(B31,'00 ACC DETAILS 02'!$E$30:$E$112,0),'00 ACC DETAILS 02'!$A$30:$A$112,'00 ACC DETAILS 02'!$D$30:$D$112)),0)</f>
      </c>
      <c r="B31" t="s" s="30">
        <v>26</v>
      </c>
      <c r="C31" s="28">
        <f t="shared" si="3"/>
      </c>
      <c r="D31" s="23">
        <f t="shared" si="0"/>
      </c>
      <c r="E31" s="29">
        <f t="shared" si="4"/>
      </c>
      <c r="F31" s="25">
        <f t="shared" si="1"/>
      </c>
      <c r="G31" s="26">
        <f t="shared" si="2"/>
      </c>
    </row>
    <row r="32" spans="1:7">
      <c r="A32" s="133">
        <f>IFERROR((LOOKUP(MATCH(B32,'00 ACC DETAILS 02'!$E$30:$E$112,0),'00 ACC DETAILS 02'!$A$30:$A$112,'00 ACC DETAILS 02'!$D$30:$D$112)),0)</f>
      </c>
      <c r="B32" t="s" s="30">
        <v>27</v>
      </c>
      <c r="C32" s="28">
        <f t="shared" si="3"/>
      </c>
      <c r="D32" s="23">
        <f t="shared" si="0"/>
      </c>
      <c r="E32" s="29">
        <f t="shared" si="4"/>
      </c>
      <c r="F32" s="25">
        <f t="shared" si="1"/>
      </c>
      <c r="G32" s="26">
        <f t="shared" si="2"/>
      </c>
    </row>
    <row r="33" spans="1:7">
      <c r="A33" s="133">
        <f>IFERROR((LOOKUP(MATCH(B33,'00 ACC DETAILS 02'!$E$30:$E$112,0),'00 ACC DETAILS 02'!$A$30:$A$112,'00 ACC DETAILS 02'!$D$30:$D$112)),0)</f>
      </c>
      <c r="B33" t="s" s="30">
        <v>28</v>
      </c>
      <c r="C33" s="28">
        <f t="shared" si="3"/>
      </c>
      <c r="D33" s="23">
        <f t="shared" si="0"/>
      </c>
      <c r="E33" s="29">
        <f t="shared" si="4"/>
      </c>
      <c r="F33" s="25">
        <f t="shared" si="1"/>
      </c>
      <c r="G33" s="26">
        <f t="shared" si="2"/>
      </c>
    </row>
    <row r="34" spans="1:7">
      <c r="A34" s="133">
        <f>IFERROR((LOOKUP(MATCH(B34,'00 ACC DETAILS 02'!$E$30:$E$112,0),'00 ACC DETAILS 02'!$A$30:$A$112,'00 ACC DETAILS 02'!$D$30:$D$112)),0)</f>
      </c>
      <c r="B34" t="s" s="30">
        <v>29</v>
      </c>
      <c r="C34" s="28">
        <f t="shared" si="3"/>
      </c>
      <c r="D34" s="23">
        <f t="shared" si="0"/>
      </c>
      <c r="E34" s="29">
        <f t="shared" si="4"/>
      </c>
      <c r="F34" s="25">
        <f t="shared" si="1"/>
      </c>
      <c r="G34" s="26">
        <f t="shared" si="2"/>
      </c>
    </row>
    <row r="35" spans="1:7">
      <c r="A35" s="133">
        <f>IFERROR((LOOKUP(MATCH(B35,'00 ACC DETAILS 02'!$E$30:$E$112,0),'00 ACC DETAILS 02'!$A$30:$A$112,'00 ACC DETAILS 02'!$D$30:$D$112)),0)</f>
      </c>
      <c r="B35" t="s" s="30">
        <v>30</v>
      </c>
      <c r="C35" s="28">
        <f t="shared" si="3"/>
      </c>
      <c r="D35" s="23">
        <f t="shared" si="0"/>
      </c>
      <c r="E35" s="29">
        <f t="shared" si="4"/>
      </c>
      <c r="F35" s="25">
        <f t="shared" si="1"/>
      </c>
      <c r="G35" s="26">
        <f t="shared" si="2"/>
      </c>
    </row>
    <row r="36" spans="1:7">
      <c r="A36" s="133">
        <f>IFERROR((LOOKUP(MATCH(B36,'00 ACC DETAILS 02'!$E$30:$E$112,0),'00 ACC DETAILS 02'!$A$30:$A$112,'00 ACC DETAILS 02'!$D$30:$D$112)),0)</f>
      </c>
      <c r="B36" t="s" s="30">
        <v>31</v>
      </c>
      <c r="C36" s="28">
        <f t="shared" si="3"/>
      </c>
      <c r="D36" s="23">
        <f t="shared" si="0"/>
      </c>
      <c r="E36" s="29">
        <f t="shared" si="4"/>
      </c>
      <c r="F36" s="25">
        <f t="shared" si="1"/>
      </c>
      <c r="G36" s="26">
        <f t="shared" si="2"/>
      </c>
    </row>
    <row r="37" spans="1:7">
      <c r="A37" s="133">
        <f>IFERROR((LOOKUP(MATCH(B37,'00 ACC DETAILS 02'!$E$30:$E$112,0),'00 ACC DETAILS 02'!$A$30:$A$112,'00 ACC DETAILS 02'!$D$30:$D$112)),0)</f>
      </c>
      <c r="B37" t="s" s="30">
        <v>32</v>
      </c>
      <c r="C37" s="28">
        <f t="shared" si="3"/>
      </c>
      <c r="D37" s="23">
        <f t="shared" si="0"/>
      </c>
      <c r="E37" s="29">
        <f t="shared" si="4"/>
      </c>
      <c r="F37" s="25">
        <f t="shared" si="1"/>
      </c>
      <c r="G37" s="26">
        <f t="shared" si="2"/>
      </c>
    </row>
    <row r="38" spans="1:7">
      <c r="A38" s="133">
        <f>IFERROR((LOOKUP(MATCH(B38,'00 ACC DETAILS 02'!$E$30:$E$112,0),'00 ACC DETAILS 02'!$A$30:$A$112,'00 ACC DETAILS 02'!$D$30:$D$112)),0)</f>
      </c>
      <c r="B38" t="s" s="30">
        <v>33</v>
      </c>
      <c r="C38" s="28">
        <f t="shared" si="3"/>
      </c>
      <c r="D38" s="23">
        <f t="shared" si="0"/>
      </c>
      <c r="E38" s="29">
        <f t="shared" si="4"/>
      </c>
      <c r="F38" s="25">
        <f t="shared" si="1"/>
      </c>
      <c r="G38" s="26">
        <f t="shared" si="2"/>
      </c>
    </row>
    <row r="39" spans="1:7">
      <c r="A39" s="133">
        <f>IFERROR((LOOKUP(MATCH(B39,'00 ACC DETAILS 02'!$E$30:$E$112,0),'00 ACC DETAILS 02'!$A$30:$A$112,'00 ACC DETAILS 02'!$D$30:$D$112)),0)</f>
      </c>
      <c r="B39" t="s" s="30">
        <v>34</v>
      </c>
      <c r="C39" s="28">
        <f t="shared" si="3"/>
      </c>
      <c r="D39" s="23">
        <f t="shared" si="0"/>
      </c>
      <c r="E39" s="29">
        <f t="shared" si="4"/>
      </c>
      <c r="F39" s="25">
        <f t="shared" si="1"/>
      </c>
      <c r="G39" s="26">
        <f t="shared" si="2"/>
      </c>
    </row>
    <row r="40" spans="1:7">
      <c r="A40" s="133">
        <f>IFERROR((LOOKUP(MATCH(B40,'00 ACC DETAILS 02'!$E$30:$E$112,0),'00 ACC DETAILS 02'!$A$30:$A$112,'00 ACC DETAILS 02'!$D$30:$D$112)),0)</f>
      </c>
      <c r="B40" t="s" s="30">
        <v>35</v>
      </c>
      <c r="C40" s="28">
        <f t="shared" si="3"/>
      </c>
      <c r="D40" s="23">
        <f t="shared" si="0"/>
      </c>
      <c r="E40" s="29">
        <f t="shared" si="4"/>
      </c>
      <c r="F40" s="25">
        <f t="shared" si="1"/>
      </c>
      <c r="G40" s="26">
        <f t="shared" si="2"/>
      </c>
    </row>
    <row r="41" spans="1:7">
      <c r="A41" s="133">
        <f>IFERROR((LOOKUP(MATCH(B41,'00 ACC DETAILS 02'!$E$30:$E$112,0),'00 ACC DETAILS 02'!$A$30:$A$112,'00 ACC DETAILS 02'!$D$30:$D$112)),0)</f>
      </c>
      <c r="B41" t="s" s="30">
        <v>36</v>
      </c>
      <c r="C41" s="28">
        <f t="shared" si="3"/>
      </c>
      <c r="D41" s="23">
        <f t="shared" si="0"/>
      </c>
      <c r="E41" s="29">
        <f t="shared" si="4"/>
      </c>
      <c r="F41" s="25">
        <f t="shared" si="1"/>
      </c>
      <c r="G41" s="26">
        <f t="shared" si="2"/>
      </c>
    </row>
    <row r="42" spans="1:7">
      <c r="A42" s="133">
        <f>IFERROR((LOOKUP(MATCH(B42,'00 ACC DETAILS 02'!$E$30:$E$112,0),'00 ACC DETAILS 02'!$A$30:$A$112,'00 ACC DETAILS 02'!$D$30:$D$112)),0)</f>
      </c>
      <c r="B42" t="s" s="30">
        <v>37</v>
      </c>
      <c r="C42" s="28">
        <f t="shared" si="3"/>
      </c>
      <c r="D42" s="23">
        <f t="shared" si="0"/>
      </c>
      <c r="E42" s="29">
        <f t="shared" si="4"/>
      </c>
      <c r="F42" s="25">
        <f t="shared" si="1"/>
      </c>
      <c r="G42" s="26">
        <f t="shared" si="2"/>
      </c>
    </row>
    <row r="43" spans="1:7">
      <c r="A43" s="133">
        <f>IFERROR((LOOKUP(MATCH(B43,'00 ACC DETAILS 02'!$E$30:$E$112,0),'00 ACC DETAILS 02'!$A$30:$A$112,'00 ACC DETAILS 02'!$D$30:$D$112)),0)</f>
      </c>
      <c r="B43" t="s" s="30">
        <v>38</v>
      </c>
      <c r="C43" s="28">
        <f t="shared" si="3"/>
      </c>
      <c r="D43" s="23">
        <f t="shared" si="0"/>
      </c>
      <c r="E43" s="29">
        <f t="shared" si="4"/>
      </c>
      <c r="F43" s="25">
        <f t="shared" si="1"/>
      </c>
      <c r="G43" s="26">
        <f t="shared" si="2"/>
      </c>
    </row>
    <row r="44" spans="1:7">
      <c r="A44" s="133">
        <f>IFERROR((LOOKUP(MATCH(B44,'00 ACC DETAILS 02'!$E$30:$E$112,0),'00 ACC DETAILS 02'!$A$30:$A$112,'00 ACC DETAILS 02'!$D$30:$D$112)),0)</f>
      </c>
      <c r="B44" t="s" s="30">
        <v>39</v>
      </c>
      <c r="C44" s="28">
        <f t="shared" si="3"/>
      </c>
      <c r="D44" s="23">
        <f t="shared" si="0"/>
      </c>
      <c r="E44" s="29">
        <f t="shared" si="4"/>
      </c>
      <c r="F44" s="25">
        <f t="shared" si="1"/>
      </c>
      <c r="G44" s="26">
        <f t="shared" si="2"/>
      </c>
    </row>
    <row r="45" spans="1:7">
      <c r="A45" s="133">
        <f>IFERROR((LOOKUP(MATCH(B45,'00 ACC DETAILS 02'!$E$30:$E$112,0),'00 ACC DETAILS 02'!$A$30:$A$112,'00 ACC DETAILS 02'!$D$30:$D$112)),0)</f>
      </c>
      <c r="B45" t="s" s="30">
        <v>40</v>
      </c>
      <c r="C45" s="28">
        <f t="shared" si="3"/>
      </c>
      <c r="D45" s="23">
        <f t="shared" si="0"/>
      </c>
      <c r="E45" s="29">
        <f t="shared" si="4"/>
      </c>
      <c r="F45" s="25">
        <f t="shared" si="1"/>
      </c>
      <c r="G45" s="26">
        <f t="shared" si="2"/>
      </c>
    </row>
    <row r="46" spans="1:7">
      <c r="A46" s="133">
        <f>IFERROR((LOOKUP(MATCH(B46,'00 ACC DETAILS 02'!$E$30:$E$112,0),'00 ACC DETAILS 02'!$A$30:$A$112,'00 ACC DETAILS 02'!$D$30:$D$112)),0)</f>
      </c>
      <c r="B46" t="s" s="30">
        <v>41</v>
      </c>
      <c r="C46" s="28">
        <f t="shared" si="3"/>
      </c>
      <c r="D46" s="23">
        <f t="shared" si="0"/>
      </c>
      <c r="E46" s="29">
        <f t="shared" si="4"/>
      </c>
      <c r="F46" s="25">
        <f t="shared" si="1"/>
      </c>
      <c r="G46" s="26">
        <f t="shared" si="2"/>
      </c>
    </row>
    <row r="47" spans="1:7">
      <c r="A47" s="133">
        <f>IFERROR((LOOKUP(MATCH(B47,'00 ACC DETAILS 02'!$E$30:$E$112,0),'00 ACC DETAILS 02'!$A$30:$A$112,'00 ACC DETAILS 02'!$D$30:$D$112)),0)</f>
      </c>
      <c r="B47" t="s" s="30">
        <v>42</v>
      </c>
      <c r="C47" s="28">
        <f t="shared" si="3"/>
      </c>
      <c r="D47" s="23">
        <f t="shared" si="0"/>
      </c>
      <c r="E47" s="29">
        <f t="shared" si="4"/>
      </c>
      <c r="F47" s="25">
        <f t="shared" si="1"/>
      </c>
      <c r="G47" s="26">
        <f t="shared" si="2"/>
      </c>
    </row>
    <row r="48" spans="1:7">
      <c r="A48" s="133">
        <f>IFERROR((LOOKUP(MATCH(B48,'00 ACC DETAILS 02'!$E$30:$E$112,0),'00 ACC DETAILS 02'!$A$30:$A$112,'00 ACC DETAILS 02'!$D$30:$D$112)),0)</f>
      </c>
      <c r="B48" t="s" s="30">
        <v>43</v>
      </c>
      <c r="C48" s="28">
        <f t="shared" si="3"/>
      </c>
      <c r="D48" s="23">
        <f t="shared" si="0"/>
      </c>
      <c r="E48" s="29">
        <f t="shared" si="4"/>
      </c>
      <c r="F48" s="25">
        <f t="shared" si="1"/>
      </c>
      <c r="G48" s="26">
        <f t="shared" si="2"/>
      </c>
    </row>
    <row r="49" spans="1:7">
      <c r="A49" s="133">
        <f>IFERROR((LOOKUP(MATCH(B49,'00 ACC DETAILS 02'!$E$30:$E$112,0),'00 ACC DETAILS 02'!$A$30:$A$112,'00 ACC DETAILS 02'!$D$30:$D$112)),0)</f>
      </c>
      <c r="B49" t="s" s="30">
        <v>44</v>
      </c>
      <c r="C49" s="28">
        <f t="shared" si="3"/>
      </c>
      <c r="D49" s="23">
        <f t="shared" si="0"/>
      </c>
      <c r="E49" s="29">
        <f t="shared" si="4"/>
      </c>
      <c r="F49" s="25">
        <f t="shared" si="1"/>
      </c>
      <c r="G49" s="26">
        <f t="shared" si="2"/>
      </c>
    </row>
    <row r="50" spans="1:7">
      <c r="A50" s="133">
        <f>IFERROR((LOOKUP(MATCH(B50,'00 ACC DETAILS 02'!$E$30:$E$112,0),'00 ACC DETAILS 02'!$A$30:$A$112,'00 ACC DETAILS 02'!$D$30:$D$112)),0)</f>
      </c>
      <c r="B50" t="s" s="30">
        <v>45</v>
      </c>
      <c r="C50" s="28">
        <f t="shared" si="3"/>
      </c>
      <c r="D50" s="23">
        <f t="shared" si="0"/>
      </c>
      <c r="E50" s="29">
        <f t="shared" si="4"/>
      </c>
      <c r="F50" s="25">
        <f t="shared" si="1"/>
      </c>
      <c r="G50" s="26">
        <f t="shared" si="2"/>
      </c>
    </row>
    <row r="51" spans="1:7">
      <c r="A51" s="133">
        <f>IFERROR((LOOKUP(MATCH(B51,'00 ACC DETAILS 02'!$E$30:$E$112,0),'00 ACC DETAILS 02'!$A$30:$A$112,'00 ACC DETAILS 02'!$D$30:$D$112)),0)</f>
      </c>
      <c r="B51" t="s" s="30">
        <v>46</v>
      </c>
      <c r="C51" s="28">
        <f t="shared" si="3"/>
      </c>
      <c r="D51" s="23">
        <f t="shared" si="0"/>
      </c>
      <c r="E51" s="29">
        <f t="shared" si="4"/>
      </c>
      <c r="F51" s="25">
        <f t="shared" si="1"/>
      </c>
      <c r="G51" s="26">
        <f t="shared" si="2"/>
      </c>
    </row>
    <row r="52" spans="1:7">
      <c r="A52" s="133">
        <f>IFERROR((LOOKUP(MATCH(B52,'00 ACC DETAILS 02'!$E$30:$E$112,0),'00 ACC DETAILS 02'!$A$30:$A$112,'00 ACC DETAILS 02'!$D$30:$D$112)),0)</f>
      </c>
      <c r="B52" t="s" s="30">
        <v>47</v>
      </c>
      <c r="C52" s="28">
        <f t="shared" si="3"/>
      </c>
      <c r="D52" s="23">
        <f t="shared" si="0"/>
      </c>
      <c r="E52" s="29">
        <f t="shared" si="4"/>
      </c>
      <c r="F52" s="25">
        <f t="shared" si="1"/>
      </c>
      <c r="G52" s="26">
        <f t="shared" si="2"/>
      </c>
    </row>
    <row r="53" spans="1:7">
      <c r="A53" s="133">
        <f>IFERROR((LOOKUP(MATCH(B53,'00 ACC DETAILS 02'!$E$30:$E$112,0),'00 ACC DETAILS 02'!$A$30:$A$112,'00 ACC DETAILS 02'!$D$30:$D$112)),0)</f>
      </c>
      <c r="B53" t="s" s="30">
        <v>48</v>
      </c>
      <c r="C53" s="28">
        <f t="shared" si="3"/>
      </c>
      <c r="D53" s="23">
        <f t="shared" si="0"/>
      </c>
      <c r="E53" s="29">
        <f t="shared" si="4"/>
      </c>
      <c r="F53" s="25">
        <f t="shared" si="1"/>
      </c>
      <c r="G53" s="26">
        <f t="shared" si="2"/>
      </c>
    </row>
    <row r="54" spans="1:7">
      <c r="A54" s="133">
        <f>IFERROR((LOOKUP(MATCH(B54,'00 ACC DETAILS 02'!$E$30:$E$112,0),'00 ACC DETAILS 02'!$A$30:$A$112,'00 ACC DETAILS 02'!$D$30:$D$112)),0)</f>
      </c>
      <c r="B54" t="s" s="30">
        <v>49</v>
      </c>
      <c r="C54" s="28">
        <f t="shared" si="3"/>
      </c>
      <c r="D54" s="23">
        <f t="shared" si="0"/>
      </c>
      <c r="E54" s="29">
        <f t="shared" si="4"/>
      </c>
      <c r="F54" s="25">
        <f t="shared" si="1"/>
      </c>
      <c r="G54" s="26">
        <f t="shared" si="2"/>
      </c>
    </row>
    <row r="55" spans="1:7">
      <c r="A55" s="133">
        <f>IFERROR((LOOKUP(MATCH(B55,'00 ACC DETAILS 02'!$E$30:$E$112,0),'00 ACC DETAILS 02'!$A$30:$A$112,'00 ACC DETAILS 02'!$D$30:$D$112)),0)</f>
      </c>
      <c r="B55" t="s" s="30">
        <v>50</v>
      </c>
      <c r="C55" s="28">
        <f t="shared" si="3"/>
      </c>
      <c r="D55" s="23">
        <f t="shared" si="0"/>
      </c>
      <c r="E55" s="29">
        <f t="shared" si="4"/>
      </c>
      <c r="F55" s="25">
        <f t="shared" si="1"/>
      </c>
      <c r="G55" s="26">
        <f t="shared" si="2"/>
      </c>
    </row>
    <row r="56" spans="1:7">
      <c r="A56" s="133">
        <f>IFERROR((LOOKUP(MATCH(B56,'00 ACC DETAILS 02'!$E$30:$E$112,0),'00 ACC DETAILS 02'!$A$30:$A$112,'00 ACC DETAILS 02'!$D$30:$D$112)),0)</f>
      </c>
      <c r="B56" t="s" s="30">
        <v>51</v>
      </c>
      <c r="C56" s="28">
        <f t="shared" si="3"/>
      </c>
      <c r="D56" s="23">
        <f t="shared" si="0"/>
      </c>
      <c r="E56" s="29">
        <f t="shared" si="4"/>
      </c>
      <c r="F56" s="25">
        <f t="shared" si="1"/>
      </c>
      <c r="G56" s="26">
        <f t="shared" si="2"/>
      </c>
    </row>
    <row r="57" spans="1:7">
      <c r="A57" s="133">
        <f>IFERROR((LOOKUP(MATCH(B57,'00 ACC DETAILS 02'!$E$30:$E$112,0),'00 ACC DETAILS 02'!$A$30:$A$112,'00 ACC DETAILS 02'!$D$30:$D$112)),0)</f>
      </c>
      <c r="B57" t="s" s="30">
        <v>52</v>
      </c>
      <c r="C57" s="28">
        <f t="shared" si="3"/>
      </c>
      <c r="D57" s="23">
        <f t="shared" si="0"/>
      </c>
      <c r="E57" s="29">
        <f t="shared" si="4"/>
      </c>
      <c r="F57" s="25">
        <f t="shared" si="1"/>
      </c>
      <c r="G57" s="26">
        <f t="shared" si="2"/>
      </c>
    </row>
    <row r="58" spans="1:7">
      <c r="A58" s="133">
        <f>IFERROR((LOOKUP(MATCH(B58,'00 ACC DETAILS 02'!$E$30:$E$112,0),'00 ACC DETAILS 02'!$A$30:$A$112,'00 ACC DETAILS 02'!$D$30:$D$112)),0)</f>
      </c>
      <c r="B58" t="s" s="30">
        <v>53</v>
      </c>
      <c r="C58" s="28">
        <f t="shared" si="3"/>
      </c>
      <c r="D58" s="23">
        <f t="shared" si="0"/>
      </c>
      <c r="E58" s="29">
        <f t="shared" si="4"/>
      </c>
      <c r="F58" s="25">
        <f t="shared" si="1"/>
      </c>
      <c r="G58" s="26">
        <f t="shared" si="2"/>
      </c>
    </row>
    <row r="59" spans="1:7">
      <c r="A59" s="133">
        <f>IFERROR((LOOKUP(MATCH(B59,'00 ACC DETAILS 02'!$E$30:$E$112,0),'00 ACC DETAILS 02'!$A$30:$A$112,'00 ACC DETAILS 02'!$D$30:$D$112)),0)</f>
      </c>
      <c r="B59" t="s" s="30">
        <v>54</v>
      </c>
      <c r="C59" s="28">
        <f t="shared" si="3"/>
      </c>
      <c r="D59" s="23">
        <f t="shared" si="0"/>
      </c>
      <c r="E59" s="29">
        <f t="shared" si="4"/>
      </c>
      <c r="F59" s="25">
        <f t="shared" si="1"/>
      </c>
      <c r="G59" s="26">
        <f t="shared" si="2"/>
      </c>
    </row>
    <row r="60" spans="1:7">
      <c r="A60" s="133">
        <f>IFERROR((LOOKUP(MATCH(B60,'00 ACC DETAILS 02'!$E$30:$E$112,0),'00 ACC DETAILS 02'!$A$30:$A$112,'00 ACC DETAILS 02'!$D$30:$D$112)),0)</f>
      </c>
      <c r="B60" t="s" s="30">
        <v>55</v>
      </c>
      <c r="C60" s="28">
        <f t="shared" si="3"/>
      </c>
      <c r="D60" s="23">
        <f t="shared" si="0"/>
      </c>
      <c r="E60" s="29">
        <f t="shared" si="4"/>
      </c>
      <c r="F60" s="25">
        <f t="shared" si="1"/>
      </c>
      <c r="G60" s="26">
        <f t="shared" si="2"/>
      </c>
    </row>
    <row r="61" spans="1:7">
      <c r="A61" s="133">
        <f>IFERROR((LOOKUP(MATCH(B61,'00 ACC DETAILS 02'!$E$30:$E$112,0),'00 ACC DETAILS 02'!$A$30:$A$112,'00 ACC DETAILS 02'!$D$30:$D$112)),0)</f>
      </c>
      <c r="B61" t="s" s="30">
        <v>56</v>
      </c>
      <c r="C61" s="28">
        <f t="shared" si="3"/>
      </c>
      <c r="D61" s="23">
        <f t="shared" si="0"/>
      </c>
      <c r="E61" s="29">
        <f t="shared" si="4"/>
      </c>
      <c r="F61" s="25">
        <f t="shared" si="1"/>
      </c>
      <c r="G61" s="26">
        <f t="shared" si="2"/>
      </c>
    </row>
    <row r="62" spans="1:7">
      <c r="A62" s="133">
        <f>IFERROR((LOOKUP(MATCH(B62,'00 ACC DETAILS 02'!$E$30:$E$112,0),'00 ACC DETAILS 02'!$A$30:$A$112,'00 ACC DETAILS 02'!$D$30:$D$112)),0)</f>
      </c>
      <c r="B62" t="s" s="30">
        <v>57</v>
      </c>
      <c r="C62" s="28">
        <f t="shared" si="3"/>
      </c>
      <c r="D62" s="23">
        <f t="shared" si="0"/>
      </c>
      <c r="E62" s="29">
        <f t="shared" si="4"/>
      </c>
      <c r="F62" s="25">
        <f t="shared" si="1"/>
      </c>
      <c r="G62" s="26">
        <f t="shared" si="2"/>
      </c>
    </row>
    <row r="63" spans="1:7">
      <c r="A63" s="133">
        <f>IFERROR((LOOKUP(MATCH(B63,'00 ACC DETAILS 02'!$E$30:$E$112,0),'00 ACC DETAILS 02'!$A$30:$A$112,'00 ACC DETAILS 02'!$D$30:$D$112)),0)</f>
      </c>
      <c r="B63" t="s" s="30">
        <v>58</v>
      </c>
      <c r="C63" s="28">
        <f t="shared" si="3"/>
      </c>
      <c r="D63" s="23">
        <f t="shared" si="0"/>
      </c>
      <c r="E63" s="29">
        <f t="shared" si="4"/>
      </c>
      <c r="F63" s="25">
        <f t="shared" si="1"/>
      </c>
      <c r="G63" s="26">
        <f t="shared" si="2"/>
      </c>
    </row>
    <row r="64" spans="1:7">
      <c r="A64" s="133">
        <f>IFERROR((LOOKUP(MATCH(B64,'00 ACC DETAILS 02'!$E$30:$E$112,0),'00 ACC DETAILS 02'!$A$30:$A$112,'00 ACC DETAILS 02'!$D$30:$D$112)),0)</f>
      </c>
      <c r="B64" t="s" s="30">
        <v>59</v>
      </c>
      <c r="C64" s="28">
        <v>0</v>
      </c>
      <c r="D64" s="23">
        <f t="shared" si="0"/>
      </c>
      <c r="E64" s="29">
        <f t="shared" si="4"/>
      </c>
      <c r="F64" s="25">
        <f t="shared" si="1"/>
      </c>
      <c r="G64" s="26">
        <f t="shared" si="2"/>
      </c>
    </row>
    <row r="65" spans="1:7">
      <c r="A65" s="133">
        <f>IFERROR((LOOKUP(MATCH(B65,'00 ACC DETAILS 02'!$E$30:$E$112,0),'00 ACC DETAILS 02'!$A$30:$A$112,'00 ACC DETAILS 02'!$D$30:$D$112)),0)</f>
      </c>
      <c r="B65" t="s" s="30">
        <v>60</v>
      </c>
      <c r="C65" s="28">
        <v>400</v>
      </c>
      <c r="D65" s="23">
        <f t="shared" si="0"/>
      </c>
      <c r="E65" s="29">
        <f t="shared" si="4"/>
      </c>
      <c r="F65" s="25">
        <f t="shared" si="1"/>
      </c>
      <c r="G65" s="26">
        <f t="shared" si="2"/>
      </c>
    </row>
    <row r="66" spans="1:7">
      <c r="A66" s="133">
        <f>IFERROR((LOOKUP(MATCH(B66,'00 ACC DETAILS 02'!$E$30:$E$112,0),'00 ACC DETAILS 02'!$A$30:$A$112,'00 ACC DETAILS 02'!$D$30:$D$112)),0)</f>
      </c>
      <c r="B66" t="s" s="30">
        <v>61</v>
      </c>
      <c r="C66" s="28">
        <v>600</v>
      </c>
      <c r="D66" s="23">
        <f t="shared" si="0"/>
      </c>
      <c r="E66" s="29">
        <f t="shared" si="4"/>
      </c>
      <c r="F66" s="25">
        <f t="shared" si="1"/>
      </c>
      <c r="G66" s="26">
        <f t="shared" si="2"/>
      </c>
    </row>
    <row r="67" spans="1:7">
      <c r="A67" s="133">
        <f>IFERROR((LOOKUP(MATCH(B67,'00 ACC DETAILS 02'!$E$30:$E$112,0),'00 ACC DETAILS 02'!$A$30:$A$112,'00 ACC DETAILS 02'!$D$30:$D$112)),0)</f>
      </c>
      <c r="B67" t="s" s="30">
        <v>62</v>
      </c>
      <c r="C67" s="28">
        <v>450</v>
      </c>
      <c r="D67" s="23">
        <f t="shared" si="0"/>
      </c>
      <c r="E67" s="29">
        <f t="shared" si="4"/>
      </c>
      <c r="F67" s="25">
        <f t="shared" si="1"/>
      </c>
      <c r="G67" s="26">
        <f t="shared" si="2"/>
      </c>
    </row>
    <row r="68" spans="1:7">
      <c r="A68" s="133">
        <f>IFERROR((LOOKUP(MATCH(B68,'00 ACC DETAILS 02'!$E$30:$E$112,0),'00 ACC DETAILS 02'!$A$30:$A$112,'00 ACC DETAILS 02'!$D$30:$D$112)),0)</f>
      </c>
      <c r="B68" t="s" s="30">
        <v>63</v>
      </c>
      <c r="C68" s="28">
        <v>750</v>
      </c>
      <c r="D68" s="23">
        <f t="shared" si="0"/>
      </c>
      <c r="E68" s="29">
        <f t="shared" si="4"/>
      </c>
      <c r="F68" s="25">
        <f t="shared" si="1"/>
      </c>
      <c r="G68" s="26">
        <f t="shared" si="2"/>
      </c>
    </row>
    <row r="69" spans="1:7">
      <c r="A69" s="133">
        <f>IFERROR((LOOKUP(MATCH(B69,'00 ACC DETAILS 02'!$E$30:$E$112,0),'00 ACC DETAILS 02'!$A$30:$A$112,'00 ACC DETAILS 02'!$D$30:$D$112)),0)</f>
      </c>
      <c r="B69" t="s" s="30">
        <v>64</v>
      </c>
      <c r="C69" s="28">
        <f>C67</f>
      </c>
      <c r="D69" s="23">
        <f t="shared" si="0"/>
      </c>
      <c r="E69" s="29">
        <f t="shared" si="4"/>
      </c>
      <c r="F69" s="25">
        <f t="shared" si="1"/>
      </c>
      <c r="G69" s="26">
        <f t="shared" si="2"/>
      </c>
    </row>
    <row r="70" spans="1:7">
      <c r="A70" s="133">
        <f>IFERROR((LOOKUP(MATCH(B70,'00 ACC DETAILS 02'!$E$30:$E$112,0),'00 ACC DETAILS 02'!$A$30:$A$112,'00 ACC DETAILS 02'!$D$30:$D$112)),0)</f>
      </c>
      <c r="B70" t="s" s="30">
        <v>65</v>
      </c>
      <c r="C70" s="28">
        <f>C68</f>
      </c>
      <c r="D70" s="23">
        <f t="shared" si="0"/>
      </c>
      <c r="E70" s="29">
        <f t="shared" si="4"/>
      </c>
      <c r="F70" s="25">
        <f t="shared" si="1"/>
      </c>
      <c r="G70" s="26">
        <f t="shared" si="2"/>
      </c>
    </row>
    <row r="71" spans="1:7">
      <c r="A71" s="133">
        <f>IFERROR((LOOKUP(MATCH(B71,'00 ACC DETAILS 02'!$E$30:$E$112,0),'00 ACC DETAILS 02'!$A$30:$A$112,'00 ACC DETAILS 02'!$D$30:$D$112)),0)</f>
      </c>
      <c r="B71" t="s" s="30">
        <v>66</v>
      </c>
      <c r="C71" s="28">
        <f>C63</f>
      </c>
      <c r="D71" s="23">
        <f t="shared" si="0"/>
      </c>
      <c r="E71" s="29">
        <f t="shared" si="4"/>
      </c>
      <c r="F71" s="25">
        <f t="shared" si="1"/>
      </c>
      <c r="G71" s="26">
        <f t="shared" si="2"/>
      </c>
    </row>
    <row r="72" spans="1:7">
      <c r="A72" s="133">
        <f>IFERROR((LOOKUP(MATCH(B72,'00 ACC DETAILS 02'!$E$30:$E$112,0),'00 ACC DETAILS 02'!$A$30:$A$112,'00 ACC DETAILS 02'!$D$30:$D$112)),0)</f>
      </c>
      <c r="B72" t="s" s="30">
        <v>67</v>
      </c>
      <c r="C72" s="28">
        <f>C62</f>
      </c>
      <c r="D72" s="23">
        <f t="shared" si="0"/>
      </c>
      <c r="E72" s="29">
        <f t="shared" si="4"/>
      </c>
      <c r="F72" s="25">
        <f t="shared" si="1"/>
      </c>
      <c r="G72" s="26">
        <f t="shared" si="2"/>
      </c>
    </row>
    <row r="73" spans="1:7">
      <c r="A73" s="133">
        <f>IFERROR((LOOKUP(MATCH(B73,'00 ACC DETAILS 02'!$E$30:$E$112,0),'00 ACC DETAILS 02'!$A$30:$A$112,'00 ACC DETAILS 02'!$D$30:$D$112)),0)</f>
      </c>
      <c r="B73" t="s" s="30">
        <v>68</v>
      </c>
      <c r="C73" s="28">
        <f t="shared" ref="C73:C85" si="5">C71</f>
      </c>
      <c r="D73" s="23">
        <f t="shared" si="0"/>
      </c>
      <c r="E73" s="29">
        <f t="shared" si="4"/>
      </c>
      <c r="F73" s="25">
        <f t="shared" si="1"/>
      </c>
      <c r="G73" s="26">
        <f t="shared" si="2"/>
      </c>
    </row>
    <row r="74" spans="1:7">
      <c r="A74" s="133">
        <f>IFERROR((LOOKUP(MATCH(B74,'00 ACC DETAILS 02'!$E$30:$E$112,0),'00 ACC DETAILS 02'!$A$30:$A$112,'00 ACC DETAILS 02'!$D$30:$D$112)),0)</f>
      </c>
      <c r="B74" t="s" s="30">
        <v>69</v>
      </c>
      <c r="C74" s="28">
        <f t="shared" si="5"/>
      </c>
      <c r="D74" s="23">
        <f t="shared" si="0"/>
      </c>
      <c r="E74" s="29">
        <f t="shared" si="4"/>
      </c>
      <c r="F74" s="25">
        <f t="shared" si="1"/>
      </c>
      <c r="G74" s="26">
        <f t="shared" si="2"/>
      </c>
    </row>
    <row r="75" spans="1:7">
      <c r="A75" s="133">
        <f>IFERROR((LOOKUP(MATCH(B75,'00 ACC DETAILS 02'!$E$30:$E$112,0),'00 ACC DETAILS 02'!$A$30:$A$112,'00 ACC DETAILS 02'!$D$30:$D$112)),0)</f>
      </c>
      <c r="B75" t="s" s="30">
        <v>70</v>
      </c>
      <c r="C75" s="28">
        <f t="shared" si="5"/>
      </c>
      <c r="D75" s="23">
        <f t="shared" si="0"/>
      </c>
      <c r="E75" s="29">
        <f t="shared" si="4"/>
      </c>
      <c r="F75" s="25">
        <f t="shared" si="1"/>
      </c>
      <c r="G75" s="26">
        <f t="shared" si="2"/>
      </c>
    </row>
    <row r="76" spans="1:7">
      <c r="A76" s="133">
        <f>IFERROR((LOOKUP(MATCH(B76,'00 ACC DETAILS 02'!$E$30:$E$112,0),'00 ACC DETAILS 02'!$A$30:$A$112,'00 ACC DETAILS 02'!$D$30:$D$112)),0)</f>
      </c>
      <c r="B76" t="s" s="30">
        <v>71</v>
      </c>
      <c r="C76" s="28">
        <f t="shared" si="5"/>
      </c>
      <c r="D76" s="23">
        <f t="shared" si="0"/>
      </c>
      <c r="E76" s="29">
        <f t="shared" si="4"/>
      </c>
      <c r="F76" s="25">
        <f t="shared" si="1"/>
      </c>
      <c r="G76" s="26">
        <f t="shared" si="2"/>
      </c>
    </row>
    <row r="77" spans="1:7">
      <c r="A77" s="133">
        <f>IFERROR((LOOKUP(MATCH(B77,'00 ACC DETAILS 02'!$E$30:$E$112,0),'00 ACC DETAILS 02'!$A$30:$A$112,'00 ACC DETAILS 02'!$D$30:$D$112)),0)</f>
      </c>
      <c r="B77" t="s" s="30">
        <v>72</v>
      </c>
      <c r="C77" s="28">
        <f t="shared" si="5"/>
      </c>
      <c r="D77" s="23">
        <f t="shared" si="0"/>
      </c>
      <c r="E77" s="31">
        <f t="shared" si="4"/>
      </c>
      <c r="F77" s="25">
        <f t="shared" si="1"/>
      </c>
      <c r="G77" s="26">
        <f t="shared" si="2"/>
      </c>
    </row>
    <row r="78" spans="1:7">
      <c r="A78" s="133">
        <f>IFERROR((LOOKUP(MATCH(B78,'00 ACC DETAILS 02'!$E$30:$E$112,0),'00 ACC DETAILS 02'!$A$30:$A$112,'00 ACC DETAILS 02'!$D$30:$D$112)),0)</f>
      </c>
      <c r="B78" t="s" s="30">
        <v>73</v>
      </c>
      <c r="C78" s="28">
        <f t="shared" si="5"/>
      </c>
      <c r="D78" s="23">
        <f t="shared" si="0"/>
      </c>
      <c r="E78" s="29">
        <f t="shared" si="4"/>
      </c>
      <c r="F78" s="25">
        <f t="shared" si="1"/>
      </c>
      <c r="G78" s="26">
        <f t="shared" si="2"/>
      </c>
    </row>
    <row r="79" spans="1:7">
      <c r="A79" s="133">
        <f>IFERROR((LOOKUP(MATCH(B79,'00 ACC DETAILS 02'!$E$30:$E$112,0),'00 ACC DETAILS 02'!$A$30:$A$112,'00 ACC DETAILS 02'!$D$30:$D$112)),0)</f>
      </c>
      <c r="B79" t="s" s="30">
        <v>74</v>
      </c>
      <c r="C79" s="28">
        <f>C77</f>
      </c>
      <c r="D79" s="23">
        <f>A79*C79</f>
      </c>
      <c r="E79" s="31">
        <f t="shared" si="4"/>
      </c>
      <c r="F79" s="25">
        <f t="shared" si="1"/>
      </c>
      <c r="G79" s="26">
        <f t="shared" si="2"/>
      </c>
    </row>
    <row r="80" spans="1:7">
      <c r="A80" s="133">
        <f>IFERROR((LOOKUP(MATCH(B80,'00 ACC DETAILS 02'!$E$30:$E$112,0),'00 ACC DETAILS 02'!$A$30:$A$112,'00 ACC DETAILS 02'!$D$30:$D$112)),0)</f>
      </c>
      <c r="B80" t="s" s="30">
        <v>75</v>
      </c>
      <c r="C80" s="28">
        <f t="shared" si="5"/>
      </c>
      <c r="D80" s="23">
        <f t="shared" si="0"/>
      </c>
      <c r="E80" s="31">
        <f t="shared" si="4"/>
      </c>
      <c r="F80" s="25">
        <f t="shared" si="1"/>
      </c>
      <c r="G80" s="26">
        <f t="shared" si="2"/>
      </c>
    </row>
    <row r="81" spans="1:7">
      <c r="A81" s="133">
        <f>IFERROR((LOOKUP(MATCH(B81,'00 ACC DETAILS 02'!$E$30:$E$112,0),'00 ACC DETAILS 02'!$A$30:$A$112,'00 ACC DETAILS 02'!$D$30:$D$112)),0)</f>
      </c>
      <c r="B81" t="s" s="30">
        <v>76</v>
      </c>
      <c r="C81" s="28">
        <f t="shared" si="5"/>
      </c>
      <c r="D81" s="23">
        <f t="shared" si="0"/>
      </c>
      <c r="E81" s="31">
        <f t="shared" si="4"/>
      </c>
      <c r="F81" s="25">
        <f t="shared" si="1"/>
      </c>
      <c r="G81" s="26">
        <f t="shared" si="2"/>
      </c>
    </row>
    <row r="82" spans="1:7">
      <c r="A82" s="133">
        <f>IFERROR((LOOKUP(MATCH(B82,'00 ACC DETAILS 02'!$E$30:$E$112,0),'00 ACC DETAILS 02'!$A$30:$A$112,'00 ACC DETAILS 02'!$D$30:$D$112)),0)</f>
      </c>
      <c r="B82" t="s" s="30">
        <v>77</v>
      </c>
      <c r="C82" s="28">
        <f t="shared" si="5"/>
      </c>
      <c r="D82" s="23">
        <f t="shared" si="0"/>
      </c>
      <c r="E82" s="31">
        <f t="shared" si="4"/>
      </c>
      <c r="F82" s="25">
        <f t="shared" si="1"/>
      </c>
      <c r="G82" s="26">
        <f t="shared" si="2"/>
      </c>
    </row>
    <row r="83" spans="1:7">
      <c r="A83" s="133">
        <f>IFERROR((LOOKUP(MATCH(B83,'00 ACC DETAILS 02'!$E$30:$E$112,0),'00 ACC DETAILS 02'!$A$30:$A$112,'00 ACC DETAILS 02'!$D$30:$D$112)),0)</f>
      </c>
      <c r="B83" t="s" s="32">
        <v>78</v>
      </c>
      <c r="C83" s="33">
        <f t="shared" si="5"/>
      </c>
      <c r="D83" s="23">
        <f t="shared" ref="D83:D101" si="6">A83*C83</f>
      </c>
      <c r="E83" s="31">
        <f t="shared" si="4"/>
      </c>
      <c r="F83" s="25">
        <f t="shared" ref="F83:F101" si="7">D83*E83/100</f>
      </c>
      <c r="G83" s="26">
        <f t="shared" ref="G83:G101" si="8">D83+F83</f>
      </c>
    </row>
    <row r="84" spans="1:7">
      <c r="A84" s="133">
        <f>IFERROR((LOOKUP(MATCH(B84,'00 ACC DETAILS 02'!$E$30:$E$112,0),'00 ACC DETAILS 02'!$A$30:$A$112,'00 ACC DETAILS 02'!$D$30:$D$112)),0)</f>
      </c>
      <c r="B84" t="s" s="34">
        <v>79</v>
      </c>
      <c r="C84" s="35">
        <f t="shared" si="5"/>
      </c>
      <c r="D84" s="23">
        <f t="shared" si="6"/>
      </c>
      <c r="E84" s="31">
        <f t="shared" si="4"/>
      </c>
      <c r="F84" s="25">
        <f t="shared" si="7"/>
      </c>
      <c r="G84" s="26">
        <f t="shared" si="8"/>
      </c>
    </row>
    <row r="85" spans="1:7">
      <c r="A85" s="133">
        <f>IFERROR((LOOKUP(MATCH(B85,'00 ACC DETAILS 02'!$E$30:$E$112,0),'00 ACC DETAILS 02'!$A$30:$A$112,'00 ACC DETAILS 02'!$D$30:$D$112)),0)</f>
      </c>
      <c r="B85" t="s" s="34">
        <v>80</v>
      </c>
      <c r="C85" s="35">
        <f t="shared" si="5"/>
      </c>
      <c r="D85" s="23">
        <f t="shared" si="6"/>
      </c>
      <c r="E85" s="31">
        <f t="shared" si="4"/>
      </c>
      <c r="F85" s="25">
        <f t="shared" si="7"/>
      </c>
      <c r="G85" s="26">
        <f t="shared" si="8"/>
      </c>
    </row>
    <row r="86" spans="1:7">
      <c r="A86" s="133">
        <f>IFERROR((LOOKUP(MATCH(B86,'00 ACC DETAILS 02'!$E$30:$E$112,0),'00 ACC DETAILS 02'!$A$30:$A$112,'00 ACC DETAILS 02'!$D$30:$D$112)),0)</f>
      </c>
      <c r="B86" t="s" s="34">
        <v>81</v>
      </c>
      <c r="C86" s="35">
        <v>2250</v>
      </c>
      <c r="D86" s="23">
        <f t="shared" si="6"/>
      </c>
      <c r="E86" s="31">
        <f t="shared" si="4"/>
      </c>
      <c r="F86" s="25">
        <f t="shared" si="7"/>
      </c>
      <c r="G86" s="26">
        <f t="shared" si="8"/>
      </c>
    </row>
    <row r="87" spans="1:7">
      <c r="A87" s="133">
        <f>IFERROR((LOOKUP(MATCH(B87,'00 ACC DETAILS 02'!$E$30:$E$112,0),'00 ACC DETAILS 02'!$A$30:$A$112,'00 ACC DETAILS 02'!$D$30:$D$112)),0)</f>
      </c>
      <c r="B87" t="s" s="34">
        <v>82</v>
      </c>
      <c r="C87" s="35">
        <f>C85</f>
      </c>
      <c r="D87" s="23">
        <f t="shared" si="6"/>
      </c>
      <c r="E87" s="31">
        <f t="shared" si="4"/>
      </c>
      <c r="F87" s="25">
        <f t="shared" si="7"/>
      </c>
      <c r="G87" s="26">
        <f t="shared" si="8"/>
      </c>
    </row>
    <row r="88" spans="1:7">
      <c r="A88" s="133">
        <f>IFERROR((LOOKUP(MATCH(B88,'00 ACC DETAILS 02'!$E$30:$E$112,0),'00 ACC DETAILS 02'!$A$30:$A$112,'00 ACC DETAILS 02'!$D$30:$D$112)),0)</f>
      </c>
      <c r="B88" t="s" s="34">
        <v>83</v>
      </c>
      <c r="C88" s="35">
        <f>C86</f>
      </c>
      <c r="D88" s="23">
        <f t="shared" si="6"/>
      </c>
      <c r="E88" s="31">
        <f t="shared" si="4"/>
      </c>
      <c r="F88" s="25">
        <f t="shared" si="7"/>
      </c>
      <c r="G88" s="26">
        <f t="shared" si="8"/>
      </c>
    </row>
    <row r="89" spans="1:7">
      <c r="A89" s="133">
        <f>IFERROR((LOOKUP(MATCH(B89,'00 ACC DETAILS 02'!$E$30:$E$112,0),'00 ACC DETAILS 02'!$A$30:$A$112,'00 ACC DETAILS 02'!$D$30:$D$112)),0)</f>
      </c>
      <c r="B89" t="s" s="36">
        <v>84</v>
      </c>
      <c r="C89" s="37">
        <f>C87</f>
      </c>
      <c r="D89" s="23">
        <f t="shared" si="6"/>
      </c>
      <c r="E89" s="31">
        <f t="shared" ref="E89:E100" si="9">E90+6</f>
      </c>
      <c r="F89" s="25">
        <f t="shared" si="7"/>
      </c>
      <c r="G89" s="26">
        <f t="shared" si="8"/>
      </c>
    </row>
    <row r="90" spans="1:7">
      <c r="A90" s="133">
        <f>IFERROR((LOOKUP(MATCH(B90,'00 ACC DETAILS 02'!$E$30:$E$112,0),'00 ACC DETAILS 02'!$A$30:$A$112,'00 ACC DETAILS 02'!$D$30:$D$112)),0)</f>
      </c>
      <c r="B90" t="s" s="34">
        <v>85</v>
      </c>
      <c r="C90" s="35">
        <f>C88</f>
      </c>
      <c r="D90" s="23">
        <f t="shared" si="6"/>
      </c>
      <c r="E90" s="31">
        <f t="shared" si="9"/>
      </c>
      <c r="F90" s="25">
        <f t="shared" si="7"/>
      </c>
      <c r="G90" s="26">
        <f t="shared" si="8"/>
      </c>
    </row>
    <row r="91" spans="1:7">
      <c r="A91" s="133">
        <f>IFERROR((LOOKUP(MATCH(B91,'00 ACC DETAILS 02'!$E$30:$E$112,0),'00 ACC DETAILS 02'!$A$30:$A$112,'00 ACC DETAILS 02'!$D$30:$D$112)),0)</f>
      </c>
      <c r="B91" t="s" s="34">
        <v>86</v>
      </c>
      <c r="C91" s="35">
        <f>C89</f>
      </c>
      <c r="D91" s="23">
        <f t="shared" si="6"/>
      </c>
      <c r="E91" s="31">
        <f t="shared" si="9"/>
      </c>
      <c r="F91" s="25">
        <f t="shared" si="7"/>
      </c>
      <c r="G91" s="26">
        <f t="shared" si="8"/>
      </c>
    </row>
    <row r="92" spans="1:7">
      <c r="A92" s="133">
        <f>IFERROR((LOOKUP(MATCH(B92,'00 ACC DETAILS 02'!$E$30:$E$112,0),'00 ACC DETAILS 02'!$A$30:$A$112,'00 ACC DETAILS 02'!$D$30:$D$112)),0)</f>
      </c>
      <c r="B92" t="s" s="34">
        <v>87</v>
      </c>
      <c r="C92" s="35">
        <v>2550</v>
      </c>
      <c r="D92" s="23">
        <f t="shared" si="6"/>
      </c>
      <c r="E92" s="31">
        <f t="shared" si="9"/>
      </c>
      <c r="F92" s="25">
        <f t="shared" si="7"/>
      </c>
      <c r="G92" s="26">
        <f t="shared" si="8"/>
      </c>
    </row>
    <row r="93" spans="1:7">
      <c r="A93" s="133">
        <f>IFERROR((LOOKUP(MATCH(B93,'00 ACC DETAILS 02'!$E$30:$E$112,0),'00 ACC DETAILS 02'!$A$30:$A$112,'00 ACC DETAILS 02'!$D$30:$D$112)),0)</f>
      </c>
      <c r="B93" t="s" s="36">
        <v>88</v>
      </c>
      <c r="C93" s="37">
        <v>1700</v>
      </c>
      <c r="D93" s="23">
        <f t="shared" si="6"/>
      </c>
      <c r="E93" s="31">
        <f t="shared" si="9"/>
      </c>
      <c r="F93" s="25">
        <f t="shared" si="7"/>
      </c>
      <c r="G93" s="26">
        <f t="shared" si="8"/>
      </c>
    </row>
    <row r="94" spans="1:7">
      <c r="A94" s="133">
        <f>IFERROR((LOOKUP(MATCH(B94,'00 ACC DETAILS 02'!$E$30:$E$112,0),'00 ACC DETAILS 02'!$A$30:$A$112,'00 ACC DETAILS 02'!$D$30:$D$112)),0)</f>
      </c>
      <c r="B94" t="s" s="34">
        <v>89</v>
      </c>
      <c r="C94" s="35">
        <f>17*150</f>
      </c>
      <c r="D94" s="23">
        <f t="shared" si="6"/>
      </c>
      <c r="E94" s="31">
        <f t="shared" si="9"/>
      </c>
      <c r="F94" s="25">
        <f t="shared" si="7"/>
      </c>
      <c r="G94" s="26">
        <f t="shared" si="8"/>
      </c>
    </row>
    <row r="95" spans="1:7">
      <c r="A95" s="133">
        <f>IFERROR((LOOKUP(MATCH(B95,'00 ACC DETAILS 02'!$E$30:$E$112,0),'00 ACC DETAILS 02'!$A$30:$A$112,'00 ACC DETAILS 02'!$D$30:$D$112)),0)</f>
      </c>
      <c r="B95" t="s" s="34">
        <v>90</v>
      </c>
      <c r="C95" s="35">
        <f>17*100</f>
      </c>
      <c r="D95" s="23">
        <f t="shared" si="6"/>
      </c>
      <c r="E95" s="31">
        <f t="shared" si="9"/>
      </c>
      <c r="F95" s="25">
        <f t="shared" si="7"/>
      </c>
      <c r="G95" s="26">
        <f t="shared" si="8"/>
      </c>
    </row>
    <row r="96" spans="1:7">
      <c r="A96" s="133">
        <f>IFERROR((LOOKUP(MATCH(B96,'00 ACC DETAILS 02'!$E$30:$E$112,0),'00 ACC DETAILS 02'!$A$30:$A$112,'00 ACC DETAILS 02'!$D$30:$D$112)),0)</f>
      </c>
      <c r="B96" t="s" s="34">
        <v>91</v>
      </c>
      <c r="C96" s="35">
        <f>C94</f>
      </c>
      <c r="D96" s="23">
        <f t="shared" si="6"/>
      </c>
      <c r="E96" s="31">
        <f t="shared" si="9"/>
      </c>
      <c r="F96" s="25">
        <f t="shared" si="7"/>
      </c>
      <c r="G96" s="26">
        <f t="shared" si="8"/>
      </c>
    </row>
    <row r="97" spans="1:7">
      <c r="A97" s="133">
        <f>IFERROR((LOOKUP(MATCH(B97,'00 ACC DETAILS 02'!$E$30:$E$112,0),'00 ACC DETAILS 02'!$A$30:$A$112,'00 ACC DETAILS 02'!$D$30:$D$112)),0)</f>
      </c>
      <c r="B97" t="s" s="34">
        <v>92</v>
      </c>
      <c r="C97" s="35">
        <f>17*100</f>
      </c>
      <c r="D97" s="23">
        <f t="shared" si="6"/>
      </c>
      <c r="E97" s="31">
        <f t="shared" si="9"/>
      </c>
      <c r="F97" s="25">
        <f t="shared" si="7"/>
      </c>
      <c r="G97" s="26">
        <f t="shared" si="8"/>
      </c>
    </row>
    <row r="98" spans="1:7">
      <c r="A98" s="133">
        <f>IFERROR((LOOKUP(MATCH(B98,'00 ACC DETAILS 02'!$E$30:$E$112,0),'00 ACC DETAILS 02'!$A$30:$A$112,'00 ACC DETAILS 02'!$D$30:$D$112)),0)</f>
      </c>
      <c r="B98" t="s" s="34">
        <v>93</v>
      </c>
      <c r="C98" s="35">
        <f>C96</f>
      </c>
      <c r="D98" s="23">
        <f t="shared" si="6"/>
      </c>
      <c r="E98" s="31">
        <f t="shared" si="9"/>
      </c>
      <c r="F98" s="25">
        <f t="shared" si="7"/>
      </c>
      <c r="G98" s="26">
        <f t="shared" si="8"/>
      </c>
    </row>
    <row r="99" spans="1:7">
      <c r="A99" s="133">
        <f>IFERROR((LOOKUP(MATCH(B99,'00 ACC DETAILS 02'!$E$30:$E$112,0),'00 ACC DETAILS 02'!$A$30:$A$112,'00 ACC DETAILS 02'!$D$30:$D$112)),0)</f>
      </c>
      <c r="B99" t="s" s="34">
        <v>94</v>
      </c>
      <c r="C99" s="35">
        <f>17*100</f>
      </c>
      <c r="D99" s="23">
        <f t="shared" si="6"/>
      </c>
      <c r="E99" s="31">
        <f t="shared" si="9"/>
      </c>
      <c r="F99" s="25">
        <f t="shared" si="7"/>
      </c>
      <c r="G99" s="38">
        <f t="shared" si="8"/>
      </c>
    </row>
    <row r="100" spans="1:7">
      <c r="A100" s="133">
        <f>IFERROR((LOOKUP(MATCH(B100,'00 ACC DETAILS 02'!$E$30:$E$112,0),'00 ACC DETAILS 02'!$A$30:$A$112,'00 ACC DETAILS 02'!$D$30:$D$112)),0)</f>
      </c>
      <c r="B100" t="s" s="34">
        <v>95</v>
      </c>
      <c r="C100" s="35">
        <f>C98</f>
      </c>
      <c r="D100" s="23">
        <f t="shared" si="6"/>
      </c>
      <c r="E100" s="31">
        <f t="shared" si="9"/>
      </c>
      <c r="F100" s="39">
        <f t="shared" si="7"/>
      </c>
      <c r="G100" s="40">
        <f t="shared" si="8"/>
      </c>
    </row>
    <row r="101" spans="1:7">
      <c r="A101" s="133">
        <f>IFERROR((LOOKUP(MATCH(B101,'00 ACC DETAILS 02'!$E$30:$E$112,0),'00 ACC DETAILS 02'!$A$30:$A$112,'00 ACC DETAILS 02'!$D$30:$D$112)),0)</f>
      </c>
      <c r="B101" t="s" s="34">
        <v>96</v>
      </c>
      <c r="C101" s="35">
        <f>17*100</f>
      </c>
      <c r="D101" s="23">
        <f t="shared" si="6"/>
      </c>
      <c r="E101" s="31">
        <v>11</v>
      </c>
      <c r="F101" s="39">
        <f t="shared" si="7"/>
      </c>
      <c r="G101" s="40">
        <f t="shared" si="8"/>
      </c>
    </row>
    <row r="102" spans="1:7" ht="18">
      <c r="A102" t="s" s="213">
        <v>97</v>
      </c>
      <c r="B102" s="213"/>
      <c r="C102" s="213"/>
      <c r="D102" s="41">
        <f>SUM(D19:D101)</f>
      </c>
      <c r="E102" s="42"/>
      <c r="F102" s="41">
        <f>SUM(F19:F101)</f>
      </c>
      <c r="G102" s="42">
        <f>SUM(G19:G101)</f>
      </c>
    </row>
    <row r="103" spans="1:7">
      <c r="A103" t="s" s="43">
        <v>98</v>
      </c>
      <c r="B103" s="44"/>
      <c r="C103" s="44"/>
      <c r="D103" s="214"/>
      <c r="E103" s="214"/>
      <c r="F103" s="215"/>
      <c r="G103" s="40">
        <v>0</v>
      </c>
    </row>
    <row r="104" spans="1:7" ht="20">
      <c r="A104" t="s" s="216">
        <v>99</v>
      </c>
      <c r="B104" s="216"/>
      <c r="C104" s="216"/>
      <c r="D104" s="216"/>
      <c r="E104" s="216"/>
      <c r="F104" s="217"/>
      <c r="G104" s="45">
        <f>G102+G103</f>
      </c>
    </row>
    <row r="105" spans="1:7">
      <c r="A105" t="s" s="46">
        <v>100</v>
      </c>
      <c r="B105" s="4"/>
      <c r="C105" s="4"/>
      <c r="D105" s="47"/>
      <c r="E105" s="48"/>
      <c r="F105" s="49"/>
      <c r="G105" s="50"/>
    </row>
    <row r="106" spans="1:7">
      <c r="A106" s="4"/>
      <c r="B106" s="4"/>
      <c r="C106" s="4"/>
      <c r="D106" s="47"/>
      <c r="E106" s="48"/>
      <c r="F106" s="49"/>
      <c r="G106" s="50"/>
    </row>
    <row r="107" spans="1:7">
      <c r="A107" t="s" s="4">
        <v>101</v>
      </c>
      <c r="B107" s="4"/>
      <c r="C107" t="s" s="4">
        <v>102</v>
      </c>
      <c r="D107" t="s" s="4">
        <v>103</v>
      </c>
      <c r="E107" s="4"/>
      <c r="F107" s="4"/>
      <c r="G107" t="s" s="4">
        <v>104</v>
      </c>
    </row>
    <row r="108" spans="1:7">
      <c r="A108" s="4"/>
      <c r="B108" s="4"/>
      <c r="C108" s="4"/>
      <c r="D108" s="4"/>
      <c r="E108" s="4"/>
      <c r="F108" s="4"/>
      <c r="G108" s="7"/>
    </row>
    <row r="109" spans="1:7">
      <c r="A109" t="s" s="218">
        <v>105</v>
      </c>
      <c r="B109" s="219"/>
      <c r="C109" t="s" s="218">
        <v>106</v>
      </c>
      <c r="D109" s="219"/>
      <c r="E109" t="s" s="218">
        <v>107</v>
      </c>
      <c r="F109" s="218"/>
      <c r="G109" t="s" s="51">
        <v>108</v>
      </c>
    </row>
    <row r="110" spans="1:7">
      <c r="A110" t="s" s="207">
        <v>109</v>
      </c>
      <c r="B110" s="208"/>
      <c r="C110" t="s" s="208">
        <v>110</v>
      </c>
      <c r="D110" s="208"/>
      <c r="E110" t="s" s="208">
        <v>111</v>
      </c>
      <c r="F110" s="208"/>
      <c r="G110" t="s" s="7">
        <v>112</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t="s" s="221">
        <v>113</v>
      </c>
      <c r="B119" s="221"/>
      <c r="C119" s="221"/>
      <c r="D119" s="221"/>
      <c r="E119" s="221"/>
      <c r="F119" s="221"/>
      <c r="G119" s="221"/>
    </row>
    <row r="120" spans="1:7" ht="23">
      <c r="A120" t="s" s="222">
        <v>114</v>
      </c>
      <c r="B120" s="222"/>
      <c r="C120" s="222"/>
      <c r="D120" s="222"/>
      <c r="E120" s="222"/>
      <c r="F120" s="222"/>
      <c r="G120" s="222"/>
    </row>
    <row r="121" spans="1:7">
      <c r="A121" t="s" s="223">
        <v>289</v>
      </c>
      <c r="B121" s="223"/>
      <c r="C121" s="223"/>
      <c r="D121" s="223"/>
      <c r="E121" s="223"/>
      <c r="F121" s="223"/>
      <c r="G121" s="223"/>
    </row>
    <row r="122" spans="1:7" ht="16">
      <c r="A122" t="s" s="224">
        <v>115</v>
      </c>
      <c r="B122" s="224"/>
      <c r="C122" s="224"/>
      <c r="D122" s="224"/>
      <c r="E122" s="224"/>
      <c r="F122" s="224"/>
      <c r="G122" s="224"/>
    </row>
    <row r="123" spans="1:7">
      <c r="A123" t="s" s="225">
        <v>116</v>
      </c>
      <c r="B123" s="225"/>
      <c r="C123" s="225"/>
      <c r="D123" s="225"/>
      <c r="E123" s="225"/>
      <c r="F123" s="225"/>
      <c r="G123" s="225"/>
    </row>
    <row r="124" spans="1:7">
      <c r="A124" s="1"/>
      <c r="B124" s="2"/>
      <c r="C124" s="2"/>
      <c r="D124" s="2"/>
      <c r="E124" s="2"/>
      <c r="F124" s="2"/>
      <c r="G124" s="2"/>
    </row>
    <row r="125" spans="1:7">
      <c r="A125" t="s" s="3">
        <v>117</v>
      </c>
      <c r="B125" s="3"/>
      <c r="C125" s="3"/>
      <c r="D125" s="3"/>
      <c r="E125" s="3"/>
      <c r="F125" s="4"/>
      <c r="G125" t="s" s="5">
        <v>118</v>
      </c>
    </row>
    <row r="126" spans="1:7">
      <c r="A126" t="s" s="3">
        <v>119</v>
      </c>
      <c r="B126" s="3"/>
      <c r="C126" s="3"/>
      <c r="D126" s="3"/>
      <c r="E126" s="3"/>
      <c r="F126" s="4"/>
      <c r="G126" t="s" s="5">
        <v>120</v>
      </c>
    </row>
    <row r="127" spans="1:7">
      <c r="A127" t="s" s="3">
        <v>121</v>
      </c>
      <c r="B127" s="3"/>
      <c r="C127" s="3"/>
      <c r="D127" s="3"/>
      <c r="E127" s="3"/>
      <c r="F127" s="3"/>
      <c r="G127" s="3"/>
    </row>
    <row r="128" spans="1:7">
      <c r="A128" s="3"/>
      <c r="B128" s="3"/>
      <c r="C128" s="3"/>
      <c r="D128" s="3"/>
      <c r="E128" s="3"/>
      <c r="F128" s="3"/>
      <c r="G128" s="3"/>
    </row>
    <row r="129" spans="1:7" ht="20">
      <c r="A129" t="s" s="202">
        <v>0</v>
      </c>
      <c r="B129" s="202"/>
      <c r="C129" s="202"/>
      <c r="D129" s="202"/>
      <c r="E129" s="202"/>
      <c r="F129" s="202"/>
      <c r="G129" s="202"/>
    </row>
    <row r="130" spans="1:7">
      <c r="A130" s="208">
        <f ca="1">A12</f>
      </c>
      <c r="B130" s="208"/>
      <c r="C130" s="208"/>
      <c r="D130" s="208"/>
      <c r="E130" s="208"/>
      <c r="F130" s="208"/>
      <c r="G130" s="208"/>
    </row>
    <row r="131" spans="1:7">
      <c r="A131" s="210"/>
      <c r="B131" s="210"/>
      <c r="C131" s="6"/>
      <c r="D131" s="7"/>
      <c r="E131" s="4"/>
      <c r="F131" s="7"/>
      <c r="G131" s="7"/>
    </row>
    <row r="132" spans="1:7" ht="20">
      <c r="A132" t="s" s="226">
        <v>1</v>
      </c>
      <c r="B132" s="226"/>
      <c r="C132" s="53">
        <f>C14</f>
      </c>
      <c r="D132" s="4"/>
      <c r="E132" s="4"/>
      <c r="F132" t="s" s="54">
        <v>2</v>
      </c>
      <c r="G132" s="55">
        <f>G14</f>
      </c>
    </row>
    <row r="133" spans="1:7" ht="20">
      <c r="A133" t="s" s="4">
        <v>3</v>
      </c>
      <c r="B133" s="56"/>
      <c r="C133" s="53">
        <f>C15</f>
      </c>
      <c r="D133" s="4"/>
      <c r="E133" s="4"/>
      <c r="F133" t="s" s="54">
        <v>4</v>
      </c>
      <c r="G133" s="57">
        <f>G15</f>
      </c>
    </row>
    <row r="134" spans="1:7" ht="16">
      <c r="A134" t="s" s="4">
        <v>5</v>
      </c>
      <c r="B134" s="58"/>
      <c r="C134" s="227"/>
      <c r="D134" s="227"/>
      <c r="E134" t="s" s="4">
        <v>6</v>
      </c>
      <c r="F134" s="228"/>
      <c r="G134" s="228"/>
    </row>
    <row r="135" spans="1:7" ht="17" thickBot="1">
      <c r="A135" t="s" s="4">
        <v>290</v>
      </c>
      <c r="B135" s="4"/>
      <c r="C135" s="58">
        <f>C17</f>
      </c>
      <c r="D135" s="59"/>
      <c r="E135" t="s" s="4">
        <v>6</v>
      </c>
      <c r="F135" s="220"/>
      <c r="G135" s="220"/>
    </row>
    <row r="136" spans="1:7" ht="16" thickBot="1">
      <c r="A136" t="s" s="20">
        <v>7</v>
      </c>
      <c r="B136" t="s" s="20">
        <v>8</v>
      </c>
      <c r="C136" t="s" s="20">
        <v>9</v>
      </c>
      <c r="D136" t="s" s="20">
        <v>10</v>
      </c>
      <c r="E136" t="s" s="21">
        <v>11</v>
      </c>
      <c r="F136" t="s" s="20">
        <v>12</v>
      </c>
      <c r="G136" t="s" s="20">
        <v>13</v>
      </c>
    </row>
    <row r="137" spans="1:7" ht="16">
      <c r="A137" s="60">
        <f t="shared" ref="A137:A200" si="10">A19</f>
      </c>
      <c r="B137" t="s" s="61">
        <v>14</v>
      </c>
      <c r="C137" s="35">
        <f>1.1*100</f>
      </c>
      <c r="D137" s="23">
        <f t="shared" ref="D137:D200" si="11">A137*C137</f>
      </c>
      <c r="E137" s="24"/>
      <c r="F137" s="25">
        <f t="shared" ref="F137:F200" si="12">D137*E137/100</f>
      </c>
      <c r="G137" s="26">
        <f t="shared" ref="G137:G200" si="13">D137+F137</f>
      </c>
    </row>
    <row r="138" spans="1:7" ht="16">
      <c r="A138" s="62">
        <f t="shared" si="10"/>
      </c>
      <c r="B138" t="s" s="30">
        <v>15</v>
      </c>
      <c r="C138" s="35">
        <f>1.1*150</f>
      </c>
      <c r="D138" s="28">
        <f t="shared" si="11"/>
      </c>
      <c r="E138" s="29"/>
      <c r="F138" s="63">
        <f t="shared" si="12"/>
      </c>
      <c r="G138" s="64">
        <f t="shared" si="13"/>
      </c>
    </row>
    <row r="139" spans="1:7" ht="16">
      <c r="A139" s="62">
        <f t="shared" si="10"/>
      </c>
      <c r="B139" t="s" s="30">
        <v>16</v>
      </c>
      <c r="C139" s="35">
        <f>1.1*100</f>
      </c>
      <c r="D139" s="28">
        <f t="shared" si="11"/>
      </c>
      <c r="E139" s="29"/>
      <c r="F139" s="63">
        <f t="shared" si="12"/>
      </c>
      <c r="G139" s="64">
        <f t="shared" si="13"/>
      </c>
    </row>
    <row r="140" spans="1:7" ht="16">
      <c r="A140" s="62">
        <f t="shared" si="10"/>
      </c>
      <c r="B140" t="s" s="30">
        <v>17</v>
      </c>
      <c r="C140" s="35">
        <f>1.1*150</f>
      </c>
      <c r="D140" s="28">
        <f t="shared" si="11"/>
      </c>
      <c r="E140" s="29"/>
      <c r="F140" s="63">
        <f t="shared" si="12"/>
      </c>
      <c r="G140" s="64">
        <f t="shared" si="13"/>
      </c>
    </row>
    <row r="141" spans="1:7" ht="16">
      <c r="A141" s="62">
        <f t="shared" si="10"/>
      </c>
      <c r="B141" t="s" s="30">
        <v>18</v>
      </c>
      <c r="C141" s="35">
        <f>1.1*100</f>
      </c>
      <c r="D141" s="28">
        <f t="shared" si="11"/>
      </c>
      <c r="E141" s="29"/>
      <c r="F141" s="63">
        <f t="shared" si="12"/>
      </c>
      <c r="G141" s="64">
        <f t="shared" si="13"/>
      </c>
    </row>
    <row r="142" spans="1:7" ht="16">
      <c r="A142" s="62">
        <f t="shared" si="10"/>
      </c>
      <c r="B142" t="s" s="30">
        <v>19</v>
      </c>
      <c r="C142" s="35">
        <f>1.1*150</f>
      </c>
      <c r="D142" s="28">
        <f t="shared" si="11"/>
      </c>
      <c r="E142" s="29"/>
      <c r="F142" s="63">
        <f t="shared" si="12"/>
      </c>
      <c r="G142" s="64">
        <f t="shared" si="13"/>
      </c>
    </row>
    <row r="143" spans="1:7" ht="16">
      <c r="A143" s="62">
        <f t="shared" si="10"/>
      </c>
      <c r="B143" t="s" s="30">
        <v>20</v>
      </c>
      <c r="C143" s="35">
        <f>1.1*100</f>
      </c>
      <c r="D143" s="28">
        <f t="shared" si="11"/>
      </c>
      <c r="E143" s="29"/>
      <c r="F143" s="63">
        <f t="shared" si="12"/>
      </c>
      <c r="G143" s="64">
        <f t="shared" si="13"/>
      </c>
    </row>
    <row r="144" spans="1:7" ht="16">
      <c r="A144" s="62">
        <f t="shared" si="10"/>
      </c>
      <c r="B144" t="s" s="30">
        <v>21</v>
      </c>
      <c r="C144" s="35">
        <f>1.1*150</f>
      </c>
      <c r="D144" s="28">
        <f t="shared" si="11"/>
      </c>
      <c r="E144" s="29"/>
      <c r="F144" s="63">
        <f t="shared" si="12"/>
      </c>
      <c r="G144" s="64">
        <f t="shared" si="13"/>
      </c>
    </row>
    <row r="145" spans="1:7" ht="16">
      <c r="A145" s="62">
        <f t="shared" si="10"/>
      </c>
      <c r="B145" t="s" s="30">
        <v>22</v>
      </c>
      <c r="C145" s="35">
        <f>1.3*100</f>
      </c>
      <c r="D145" s="28">
        <f t="shared" si="11"/>
      </c>
      <c r="E145" s="29"/>
      <c r="F145" s="63">
        <f t="shared" si="12"/>
      </c>
      <c r="G145" s="64">
        <f t="shared" si="13"/>
      </c>
    </row>
    <row r="146" spans="1:7" ht="16">
      <c r="A146" s="62">
        <f t="shared" si="10"/>
      </c>
      <c r="B146" t="s" s="30">
        <v>23</v>
      </c>
      <c r="C146" s="35">
        <f>1.3*150</f>
      </c>
      <c r="D146" s="28">
        <f t="shared" si="11"/>
      </c>
      <c r="E146" s="29"/>
      <c r="F146" s="63">
        <f t="shared" si="12"/>
      </c>
      <c r="G146" s="64">
        <f t="shared" si="13"/>
      </c>
    </row>
    <row r="147" spans="1:7" ht="16">
      <c r="A147" s="62">
        <f t="shared" si="10"/>
      </c>
      <c r="B147" t="s" s="30">
        <v>24</v>
      </c>
      <c r="C147" s="35">
        <f>1.3*100</f>
      </c>
      <c r="D147" s="28">
        <f t="shared" si="11"/>
      </c>
      <c r="E147" s="29"/>
      <c r="F147" s="63">
        <f t="shared" si="12"/>
      </c>
      <c r="G147" s="64">
        <f t="shared" si="13"/>
      </c>
    </row>
    <row r="148" spans="1:7" ht="16">
      <c r="A148" s="62">
        <f t="shared" si="10"/>
      </c>
      <c r="B148" t="s" s="30">
        <v>25</v>
      </c>
      <c r="C148" s="35">
        <f>1.4*150</f>
      </c>
      <c r="D148" s="28">
        <f t="shared" si="11"/>
      </c>
      <c r="E148" s="29"/>
      <c r="F148" s="63">
        <f t="shared" si="12"/>
      </c>
      <c r="G148" s="64">
        <f t="shared" si="13"/>
      </c>
    </row>
    <row r="149" spans="1:7" ht="16">
      <c r="A149" s="62">
        <f t="shared" si="10"/>
      </c>
      <c r="B149" t="s" s="30">
        <v>26</v>
      </c>
      <c r="C149" s="35">
        <f>1.45*100</f>
      </c>
      <c r="D149" s="28">
        <f t="shared" si="11"/>
      </c>
      <c r="E149" s="29"/>
      <c r="F149" s="63">
        <f t="shared" si="12"/>
      </c>
      <c r="G149" s="64">
        <f t="shared" si="13"/>
      </c>
    </row>
    <row r="150" spans="1:7" ht="16">
      <c r="A150" s="62">
        <f t="shared" si="10"/>
      </c>
      <c r="B150" t="s" s="30">
        <v>27</v>
      </c>
      <c r="C150" s="35">
        <f>1.55*150</f>
      </c>
      <c r="D150" s="28">
        <f t="shared" si="11"/>
      </c>
      <c r="E150" s="29"/>
      <c r="F150" s="63">
        <f t="shared" si="12"/>
      </c>
      <c r="G150" s="64">
        <f t="shared" si="13"/>
      </c>
    </row>
    <row r="151" spans="1:7" ht="16">
      <c r="A151" s="62">
        <f t="shared" si="10"/>
      </c>
      <c r="B151" t="s" s="30">
        <v>28</v>
      </c>
      <c r="C151" s="35">
        <f>1.55*100</f>
      </c>
      <c r="D151" s="28">
        <f t="shared" si="11"/>
      </c>
      <c r="E151" s="29"/>
      <c r="F151" s="63">
        <f t="shared" si="12"/>
      </c>
      <c r="G151" s="64">
        <f t="shared" si="13"/>
      </c>
    </row>
    <row r="152" spans="1:7" ht="16">
      <c r="A152" s="62">
        <f t="shared" si="10"/>
      </c>
      <c r="B152" t="s" s="30">
        <v>29</v>
      </c>
      <c r="C152" s="35">
        <f>1.7*150</f>
      </c>
      <c r="D152" s="28">
        <f t="shared" si="11"/>
      </c>
      <c r="E152" s="29"/>
      <c r="F152" s="63">
        <f t="shared" si="12"/>
      </c>
      <c r="G152" s="64">
        <f t="shared" si="13"/>
      </c>
    </row>
    <row r="153" spans="1:7" ht="16">
      <c r="A153" s="62">
        <f t="shared" si="10"/>
      </c>
      <c r="B153" t="s" s="30">
        <v>30</v>
      </c>
      <c r="C153" s="35">
        <f>1.7*100</f>
      </c>
      <c r="D153" s="28">
        <f t="shared" si="11"/>
      </c>
      <c r="E153" s="29"/>
      <c r="F153" s="63">
        <f t="shared" si="12"/>
      </c>
      <c r="G153" s="64">
        <f t="shared" si="13"/>
      </c>
    </row>
    <row r="154" spans="1:7" ht="16">
      <c r="A154" s="62">
        <f t="shared" si="10"/>
      </c>
      <c r="B154" t="s" s="30">
        <v>31</v>
      </c>
      <c r="C154" s="35">
        <f>2.1*150</f>
      </c>
      <c r="D154" s="28">
        <f t="shared" si="11"/>
      </c>
      <c r="E154" s="29"/>
      <c r="F154" s="63">
        <f t="shared" si="12"/>
      </c>
      <c r="G154" s="64">
        <f t="shared" si="13"/>
      </c>
    </row>
    <row r="155" spans="1:7" ht="16">
      <c r="A155" s="62">
        <f t="shared" si="10"/>
      </c>
      <c r="B155" t="s" s="30">
        <v>32</v>
      </c>
      <c r="C155" s="35">
        <f>2.65*100</f>
      </c>
      <c r="D155" s="28">
        <f t="shared" si="11"/>
      </c>
      <c r="E155" s="29"/>
      <c r="F155" s="63">
        <f t="shared" si="12"/>
      </c>
      <c r="G155" s="64">
        <f t="shared" si="13"/>
      </c>
    </row>
    <row r="156" spans="1:7" ht="16">
      <c r="A156" s="62">
        <f t="shared" si="10"/>
      </c>
      <c r="B156" t="s" s="30">
        <v>33</v>
      </c>
      <c r="C156" s="35">
        <f>3.5*150</f>
      </c>
      <c r="D156" s="28">
        <f t="shared" si="11"/>
      </c>
      <c r="E156" s="29"/>
      <c r="F156" s="63">
        <f t="shared" si="12"/>
      </c>
      <c r="G156" s="64">
        <f t="shared" si="13"/>
      </c>
    </row>
    <row r="157" spans="1:7" ht="16">
      <c r="A157" s="62">
        <f t="shared" si="10"/>
      </c>
      <c r="B157" t="s" s="30">
        <v>34</v>
      </c>
      <c r="C157" s="35">
        <f>3.5*100</f>
      </c>
      <c r="D157" s="28">
        <f t="shared" si="11"/>
      </c>
      <c r="E157" s="29"/>
      <c r="F157" s="63">
        <f t="shared" si="12"/>
      </c>
      <c r="G157" s="64">
        <f t="shared" si="13"/>
      </c>
    </row>
    <row r="158" spans="1:7" ht="16">
      <c r="A158" s="62">
        <f t="shared" si="10"/>
      </c>
      <c r="B158" t="s" s="30">
        <v>35</v>
      </c>
      <c r="C158" s="35">
        <f>3.5*150</f>
      </c>
      <c r="D158" s="28">
        <f t="shared" si="11"/>
      </c>
      <c r="E158" s="29"/>
      <c r="F158" s="63">
        <f t="shared" si="12"/>
      </c>
      <c r="G158" s="64">
        <f t="shared" si="13"/>
      </c>
    </row>
    <row r="159" spans="1:7" ht="16">
      <c r="A159" s="62">
        <f t="shared" si="10"/>
      </c>
      <c r="B159" t="s" s="30">
        <v>36</v>
      </c>
      <c r="C159" s="35">
        <f>3.5*100</f>
      </c>
      <c r="D159" s="28">
        <f t="shared" si="11"/>
      </c>
      <c r="E159" s="29"/>
      <c r="F159" s="63">
        <f t="shared" si="12"/>
      </c>
      <c r="G159" s="64">
        <f t="shared" si="13"/>
      </c>
    </row>
    <row r="160" spans="1:7" ht="16">
      <c r="A160" s="62">
        <f t="shared" si="10"/>
      </c>
      <c r="B160" t="s" s="30">
        <v>37</v>
      </c>
      <c r="C160" s="35">
        <f>3.5*150</f>
      </c>
      <c r="D160" s="28">
        <f t="shared" si="11"/>
      </c>
      <c r="E160" s="29"/>
      <c r="F160" s="63">
        <f t="shared" si="12"/>
      </c>
      <c r="G160" s="64">
        <f t="shared" si="13"/>
      </c>
    </row>
    <row r="161" spans="1:7" ht="16">
      <c r="A161" s="62">
        <f t="shared" si="10"/>
      </c>
      <c r="B161" t="s" s="30">
        <v>38</v>
      </c>
      <c r="C161" s="35">
        <f>3.5*100</f>
      </c>
      <c r="D161" s="28">
        <f t="shared" si="11"/>
      </c>
      <c r="E161" s="29"/>
      <c r="F161" s="63">
        <f t="shared" si="12"/>
      </c>
      <c r="G161" s="64">
        <f t="shared" si="13"/>
      </c>
    </row>
    <row r="162" spans="1:7" ht="16">
      <c r="A162" s="62">
        <f t="shared" si="10"/>
      </c>
      <c r="B162" t="s" s="30">
        <v>39</v>
      </c>
      <c r="C162" s="35">
        <f>3.5*150</f>
      </c>
      <c r="D162" s="28">
        <f t="shared" si="11"/>
      </c>
      <c r="E162" s="29"/>
      <c r="F162" s="63">
        <f t="shared" si="12"/>
      </c>
      <c r="G162" s="64">
        <f t="shared" si="13"/>
      </c>
    </row>
    <row r="163" spans="1:7" ht="16">
      <c r="A163" s="62">
        <f t="shared" si="10"/>
      </c>
      <c r="B163" t="s" s="30">
        <v>40</v>
      </c>
      <c r="C163" s="35">
        <f>3.5*100</f>
      </c>
      <c r="D163" s="28">
        <f t="shared" si="11"/>
      </c>
      <c r="E163" s="29"/>
      <c r="F163" s="63">
        <f t="shared" si="12"/>
      </c>
      <c r="G163" s="64">
        <f t="shared" si="13"/>
      </c>
    </row>
    <row r="164" spans="1:7" ht="16">
      <c r="A164" s="62">
        <f t="shared" si="10"/>
      </c>
      <c r="B164" t="s" s="30">
        <v>41</v>
      </c>
      <c r="C164" s="35">
        <f>3.5*150</f>
      </c>
      <c r="D164" s="28">
        <f t="shared" si="11"/>
      </c>
      <c r="E164" s="29"/>
      <c r="F164" s="63">
        <f t="shared" si="12"/>
      </c>
      <c r="G164" s="64">
        <f t="shared" si="13"/>
      </c>
    </row>
    <row r="165" spans="1:7" ht="16">
      <c r="A165" s="62">
        <f t="shared" si="10"/>
      </c>
      <c r="B165" t="s" s="30">
        <v>42</v>
      </c>
      <c r="C165" s="35">
        <f>3.5*100</f>
      </c>
      <c r="D165" s="28">
        <f t="shared" si="11"/>
      </c>
      <c r="E165" s="29"/>
      <c r="F165" s="63">
        <f t="shared" si="12"/>
      </c>
      <c r="G165" s="64">
        <f t="shared" si="13"/>
      </c>
    </row>
    <row r="166" spans="1:7" ht="16">
      <c r="A166" s="62">
        <f t="shared" si="10"/>
      </c>
      <c r="B166" t="s" s="30">
        <v>43</v>
      </c>
      <c r="C166" s="35">
        <f>6*150</f>
      </c>
      <c r="D166" s="28">
        <f t="shared" si="11"/>
      </c>
      <c r="E166" s="29"/>
      <c r="F166" s="63">
        <f t="shared" si="12"/>
      </c>
      <c r="G166" s="64">
        <f t="shared" si="13"/>
      </c>
    </row>
    <row r="167" spans="1:7" ht="16">
      <c r="A167" s="62">
        <f t="shared" si="10"/>
      </c>
      <c r="B167" t="s" s="30">
        <v>44</v>
      </c>
      <c r="C167" s="35">
        <f>6*100</f>
      </c>
      <c r="D167" s="28">
        <f t="shared" si="11"/>
      </c>
      <c r="E167" s="29"/>
      <c r="F167" s="63">
        <f t="shared" si="12"/>
      </c>
      <c r="G167" s="64">
        <f t="shared" si="13"/>
      </c>
    </row>
    <row r="168" spans="1:7" ht="16">
      <c r="A168" s="62">
        <f t="shared" si="10"/>
      </c>
      <c r="B168" t="s" s="30">
        <v>45</v>
      </c>
      <c r="C168" s="35">
        <f>6*150</f>
      </c>
      <c r="D168" s="28">
        <f t="shared" si="11"/>
      </c>
      <c r="E168" s="29"/>
      <c r="F168" s="63">
        <f t="shared" si="12"/>
      </c>
      <c r="G168" s="64">
        <f t="shared" si="13"/>
      </c>
    </row>
    <row r="169" spans="1:7" ht="16">
      <c r="A169" s="62">
        <f t="shared" si="10"/>
      </c>
      <c r="B169" t="s" s="30">
        <v>46</v>
      </c>
      <c r="C169" s="35">
        <f>6*100</f>
      </c>
      <c r="D169" s="28">
        <f t="shared" si="11"/>
      </c>
      <c r="E169" s="29"/>
      <c r="F169" s="63">
        <f t="shared" si="12"/>
      </c>
      <c r="G169" s="64">
        <f t="shared" si="13"/>
      </c>
    </row>
    <row r="170" spans="1:7" ht="16">
      <c r="A170" s="62">
        <f t="shared" si="10"/>
      </c>
      <c r="B170" t="s" s="30">
        <v>47</v>
      </c>
      <c r="C170" s="35">
        <f>6*150</f>
      </c>
      <c r="D170" s="28">
        <f t="shared" si="11"/>
      </c>
      <c r="E170" s="29"/>
      <c r="F170" s="63">
        <f t="shared" si="12"/>
      </c>
      <c r="G170" s="64">
        <f t="shared" si="13"/>
      </c>
    </row>
    <row r="171" spans="1:7" ht="16">
      <c r="A171" s="62">
        <f t="shared" si="10"/>
      </c>
      <c r="B171" t="s" s="30">
        <v>48</v>
      </c>
      <c r="C171" s="35">
        <f>6*100</f>
      </c>
      <c r="D171" s="28">
        <f t="shared" si="11"/>
      </c>
      <c r="E171" s="29"/>
      <c r="F171" s="63">
        <f t="shared" si="12"/>
      </c>
      <c r="G171" s="64">
        <f t="shared" si="13"/>
      </c>
    </row>
    <row r="172" spans="1:7" ht="16">
      <c r="A172" s="62">
        <f t="shared" si="10"/>
      </c>
      <c r="B172" t="s" s="30">
        <v>49</v>
      </c>
      <c r="C172" s="35">
        <f>6*150</f>
      </c>
      <c r="D172" s="28">
        <f t="shared" si="11"/>
      </c>
      <c r="E172" s="29"/>
      <c r="F172" s="63">
        <f t="shared" si="12"/>
      </c>
      <c r="G172" s="64">
        <f t="shared" si="13"/>
      </c>
    </row>
    <row r="173" spans="1:7" ht="16">
      <c r="A173" s="62">
        <f t="shared" si="10"/>
      </c>
      <c r="B173" t="s" s="30">
        <v>50</v>
      </c>
      <c r="C173" s="35">
        <f>6*100</f>
      </c>
      <c r="D173" s="28">
        <f t="shared" si="11"/>
      </c>
      <c r="E173" s="29"/>
      <c r="F173" s="63">
        <f t="shared" si="12"/>
      </c>
      <c r="G173" s="64">
        <f t="shared" si="13"/>
      </c>
    </row>
    <row r="174" spans="1:7" ht="16">
      <c r="A174" s="62">
        <f t="shared" si="10"/>
      </c>
      <c r="B174" t="s" s="30">
        <v>51</v>
      </c>
      <c r="C174" s="35">
        <f>6*150</f>
      </c>
      <c r="D174" s="28">
        <f t="shared" si="11"/>
      </c>
      <c r="E174" s="29"/>
      <c r="F174" s="63">
        <f t="shared" si="12"/>
      </c>
      <c r="G174" s="64">
        <f t="shared" si="13"/>
      </c>
    </row>
    <row r="175" spans="1:7" ht="16">
      <c r="A175" s="62">
        <f t="shared" si="10"/>
      </c>
      <c r="B175" t="s" s="30">
        <v>52</v>
      </c>
      <c r="C175" s="35">
        <f>6*100</f>
      </c>
      <c r="D175" s="28">
        <f t="shared" si="11"/>
      </c>
      <c r="E175" s="29"/>
      <c r="F175" s="63">
        <f t="shared" si="12"/>
      </c>
      <c r="G175" s="64">
        <f t="shared" si="13"/>
      </c>
    </row>
    <row r="176" spans="1:7" ht="16">
      <c r="A176" s="62">
        <f t="shared" si="10"/>
      </c>
      <c r="B176" t="s" s="30">
        <v>53</v>
      </c>
      <c r="C176" s="35">
        <f>6*150</f>
      </c>
      <c r="D176" s="28">
        <f t="shared" si="11"/>
      </c>
      <c r="E176" s="29"/>
      <c r="F176" s="63">
        <f t="shared" si="12"/>
      </c>
      <c r="G176" s="64">
        <f t="shared" si="13"/>
      </c>
    </row>
    <row r="177" spans="1:7" ht="16">
      <c r="A177" s="62">
        <f t="shared" si="10"/>
      </c>
      <c r="B177" t="s" s="30">
        <v>54</v>
      </c>
      <c r="C177" s="35">
        <f>6*100</f>
      </c>
      <c r="D177" s="28">
        <f t="shared" si="11"/>
      </c>
      <c r="E177" s="29"/>
      <c r="F177" s="63">
        <f t="shared" si="12"/>
      </c>
      <c r="G177" s="64">
        <f t="shared" si="13"/>
      </c>
    </row>
    <row r="178" spans="1:7" ht="16">
      <c r="A178" s="62">
        <f t="shared" si="10"/>
      </c>
      <c r="B178" t="s" s="30">
        <v>55</v>
      </c>
      <c r="C178" s="35">
        <f>6*150</f>
      </c>
      <c r="D178" s="28">
        <f t="shared" si="11"/>
      </c>
      <c r="E178" s="29"/>
      <c r="F178" s="63">
        <f t="shared" si="12"/>
      </c>
      <c r="G178" s="64">
        <f t="shared" si="13"/>
      </c>
    </row>
    <row r="179" spans="1:7" ht="16">
      <c r="A179" s="62">
        <f t="shared" si="10"/>
      </c>
      <c r="B179" t="s" s="30">
        <v>56</v>
      </c>
      <c r="C179" s="35">
        <f>8*100</f>
      </c>
      <c r="D179" s="28">
        <f t="shared" si="11"/>
      </c>
      <c r="E179" s="29"/>
      <c r="F179" s="63">
        <f t="shared" si="12"/>
      </c>
      <c r="G179" s="64">
        <f t="shared" si="13"/>
      </c>
    </row>
    <row r="180" spans="1:7" ht="16">
      <c r="A180" s="62">
        <f t="shared" si="10"/>
      </c>
      <c r="B180" t="s" s="30">
        <v>57</v>
      </c>
      <c r="C180" s="35">
        <f>8*150</f>
      </c>
      <c r="D180" s="28">
        <f t="shared" si="11"/>
      </c>
      <c r="E180" s="29"/>
      <c r="F180" s="63">
        <f t="shared" si="12"/>
      </c>
      <c r="G180" s="64">
        <f t="shared" si="13"/>
      </c>
    </row>
    <row r="181" spans="1:7" ht="16">
      <c r="A181" s="62">
        <f t="shared" si="10"/>
      </c>
      <c r="B181" t="s" s="30">
        <v>58</v>
      </c>
      <c r="C181" s="35">
        <f>8*100</f>
      </c>
      <c r="D181" s="28">
        <f t="shared" si="11"/>
      </c>
      <c r="E181" s="29"/>
      <c r="F181" s="63">
        <f t="shared" si="12"/>
      </c>
      <c r="G181" s="64">
        <f t="shared" si="13"/>
      </c>
    </row>
    <row r="182" spans="1:7" ht="16">
      <c r="A182" s="62">
        <f t="shared" si="10"/>
      </c>
      <c r="B182" t="s" s="30">
        <v>59</v>
      </c>
      <c r="C182" s="28">
        <v>0</v>
      </c>
      <c r="D182" s="28">
        <f t="shared" si="11"/>
      </c>
      <c r="E182" s="29"/>
      <c r="F182" s="63">
        <f t="shared" si="12"/>
      </c>
      <c r="G182" s="64">
        <f t="shared" si="13"/>
      </c>
    </row>
    <row r="183" spans="1:7" ht="16">
      <c r="A183" s="62">
        <f t="shared" si="10"/>
      </c>
      <c r="B183" t="s" s="30">
        <v>60</v>
      </c>
      <c r="C183" s="28">
        <f t="shared" ref="C183:C188" si="14">C65</f>
      </c>
      <c r="D183" s="28">
        <f t="shared" si="11"/>
      </c>
      <c r="E183" s="29"/>
      <c r="F183" s="63">
        <f t="shared" si="12"/>
      </c>
      <c r="G183" s="64">
        <f t="shared" si="13"/>
      </c>
    </row>
    <row r="184" spans="1:7" ht="16">
      <c r="A184" s="62">
        <f t="shared" si="10"/>
      </c>
      <c r="B184" t="s" s="30">
        <v>61</v>
      </c>
      <c r="C184" s="28">
        <f t="shared" si="14"/>
      </c>
      <c r="D184" s="28">
        <f t="shared" si="11"/>
      </c>
      <c r="E184" s="29"/>
      <c r="F184" s="63">
        <f t="shared" si="12"/>
      </c>
      <c r="G184" s="64">
        <f t="shared" si="13"/>
      </c>
    </row>
    <row r="185" spans="1:7" ht="16">
      <c r="A185" s="62">
        <f t="shared" si="10"/>
      </c>
      <c r="B185" t="s" s="30">
        <v>62</v>
      </c>
      <c r="C185" s="28">
        <f t="shared" si="14"/>
      </c>
      <c r="D185" s="28">
        <f t="shared" si="11"/>
      </c>
      <c r="E185" s="29"/>
      <c r="F185" s="63">
        <f t="shared" si="12"/>
      </c>
      <c r="G185" s="64">
        <f t="shared" si="13"/>
      </c>
    </row>
    <row r="186" spans="1:7" ht="16">
      <c r="A186" s="62">
        <f t="shared" si="10"/>
      </c>
      <c r="B186" t="s" s="30">
        <v>63</v>
      </c>
      <c r="C186" s="28">
        <f t="shared" si="14"/>
      </c>
      <c r="D186" s="28">
        <f t="shared" si="11"/>
      </c>
      <c r="E186" s="29"/>
      <c r="F186" s="63">
        <f t="shared" si="12"/>
      </c>
      <c r="G186" s="64">
        <f t="shared" si="13"/>
      </c>
    </row>
    <row r="187" spans="1:7" ht="16">
      <c r="A187" s="62">
        <f t="shared" si="10"/>
      </c>
      <c r="B187" t="s" s="30">
        <v>64</v>
      </c>
      <c r="C187" s="28">
        <f t="shared" si="14"/>
      </c>
      <c r="D187" s="28">
        <f t="shared" si="11"/>
      </c>
      <c r="E187" s="29">
        <f t="shared" ref="E187:E218" si="15">E188+6</f>
      </c>
      <c r="F187" s="63">
        <f t="shared" si="12"/>
      </c>
      <c r="G187" s="64">
        <f t="shared" si="13"/>
      </c>
    </row>
    <row r="188" spans="1:7" ht="16">
      <c r="A188" s="62">
        <f t="shared" si="10"/>
      </c>
      <c r="B188" t="s" s="30">
        <v>65</v>
      </c>
      <c r="C188" s="28">
        <f t="shared" si="14"/>
      </c>
      <c r="D188" s="28">
        <f t="shared" si="11"/>
      </c>
      <c r="E188" s="29">
        <f t="shared" si="15"/>
      </c>
      <c r="F188" s="63">
        <f t="shared" si="12"/>
      </c>
      <c r="G188" s="64">
        <f t="shared" si="13"/>
      </c>
    </row>
    <row r="189" spans="1:7" ht="16">
      <c r="A189" s="62">
        <f t="shared" si="10"/>
      </c>
      <c r="B189" t="s" s="30">
        <v>66</v>
      </c>
      <c r="C189" s="28">
        <v>1000</v>
      </c>
      <c r="D189" s="28">
        <f t="shared" si="11"/>
      </c>
      <c r="E189" s="29">
        <f t="shared" si="15"/>
      </c>
      <c r="F189" s="63">
        <f t="shared" si="12"/>
      </c>
      <c r="G189" s="64">
        <f t="shared" si="13"/>
      </c>
    </row>
    <row r="190" spans="1:7" ht="16">
      <c r="A190" s="62">
        <f t="shared" si="10"/>
      </c>
      <c r="B190" t="s" s="30">
        <v>67</v>
      </c>
      <c r="C190" s="28">
        <v>1500</v>
      </c>
      <c r="D190" s="28">
        <f t="shared" si="11"/>
      </c>
      <c r="E190" s="29">
        <f t="shared" si="15"/>
      </c>
      <c r="F190" s="63">
        <f t="shared" si="12"/>
      </c>
      <c r="G190" s="64">
        <f t="shared" si="13"/>
      </c>
    </row>
    <row r="191" spans="1:7" ht="16">
      <c r="A191" s="62">
        <f t="shared" si="10"/>
      </c>
      <c r="B191" t="s" s="30">
        <v>68</v>
      </c>
      <c r="C191" s="28">
        <f t="shared" ref="C191:C199" si="16">C189</f>
      </c>
      <c r="D191" s="28">
        <f t="shared" si="11"/>
      </c>
      <c r="E191" s="29">
        <f t="shared" si="15"/>
      </c>
      <c r="F191" s="63">
        <f t="shared" si="12"/>
      </c>
      <c r="G191" s="64">
        <f t="shared" si="13"/>
      </c>
    </row>
    <row r="192" spans="1:7" ht="16">
      <c r="A192" s="62">
        <f t="shared" si="10"/>
      </c>
      <c r="B192" t="s" s="30">
        <v>69</v>
      </c>
      <c r="C192" s="28">
        <f t="shared" si="16"/>
      </c>
      <c r="D192" s="28">
        <f t="shared" si="11"/>
      </c>
      <c r="E192" s="29">
        <f t="shared" si="15"/>
      </c>
      <c r="F192" s="63">
        <f t="shared" si="12"/>
      </c>
      <c r="G192" s="64">
        <f t="shared" si="13"/>
      </c>
    </row>
    <row r="193" spans="1:7" ht="16">
      <c r="A193" s="62">
        <f t="shared" si="10"/>
      </c>
      <c r="B193" t="s" s="30">
        <v>70</v>
      </c>
      <c r="C193" s="28">
        <f t="shared" si="16"/>
      </c>
      <c r="D193" s="28">
        <f t="shared" si="11"/>
      </c>
      <c r="E193" s="29">
        <f t="shared" si="15"/>
      </c>
      <c r="F193" s="63">
        <f t="shared" si="12"/>
      </c>
      <c r="G193" s="64">
        <f t="shared" si="13"/>
      </c>
    </row>
    <row r="194" spans="1:7" ht="16">
      <c r="A194" s="62">
        <f t="shared" si="10"/>
      </c>
      <c r="B194" t="s" s="30">
        <v>71</v>
      </c>
      <c r="C194" s="28">
        <f t="shared" si="16"/>
      </c>
      <c r="D194" s="28">
        <f t="shared" si="11"/>
      </c>
      <c r="E194" s="29">
        <f t="shared" si="15"/>
      </c>
      <c r="F194" s="63">
        <f t="shared" si="12"/>
      </c>
      <c r="G194" s="64">
        <f t="shared" si="13"/>
      </c>
    </row>
    <row r="195" spans="1:7" ht="16">
      <c r="A195" s="62">
        <f t="shared" si="10"/>
      </c>
      <c r="B195" t="s" s="30">
        <v>72</v>
      </c>
      <c r="C195" s="28">
        <f t="shared" si="16"/>
      </c>
      <c r="D195" s="28">
        <f t="shared" si="11"/>
      </c>
      <c r="E195" s="31">
        <f t="shared" si="15"/>
      </c>
      <c r="F195" s="63">
        <f t="shared" si="12"/>
      </c>
      <c r="G195" s="64">
        <f t="shared" si="13"/>
      </c>
    </row>
    <row r="196" spans="1:7" ht="16">
      <c r="A196" s="62">
        <f t="shared" si="10"/>
      </c>
      <c r="B196" t="s" s="30">
        <v>73</v>
      </c>
      <c r="C196" s="28">
        <f t="shared" si="16"/>
      </c>
      <c r="D196" s="28">
        <f t="shared" si="11"/>
      </c>
      <c r="E196" s="29">
        <f t="shared" si="15"/>
      </c>
      <c r="F196" s="63">
        <f t="shared" si="12"/>
      </c>
      <c r="G196" s="64">
        <f t="shared" si="13"/>
      </c>
    </row>
    <row r="197" spans="1:7" ht="16">
      <c r="A197" s="62">
        <f t="shared" si="10"/>
      </c>
      <c r="B197" t="s" s="30">
        <v>74</v>
      </c>
      <c r="C197" s="28">
        <f t="shared" si="16"/>
      </c>
      <c r="D197" s="28">
        <f t="shared" si="11"/>
      </c>
      <c r="E197" s="31">
        <f t="shared" si="15"/>
      </c>
      <c r="F197" s="63">
        <f t="shared" si="12"/>
      </c>
      <c r="G197" s="64">
        <f t="shared" si="13"/>
      </c>
    </row>
    <row r="198" spans="1:7" ht="16">
      <c r="A198" s="62">
        <f t="shared" si="10"/>
      </c>
      <c r="B198" t="s" s="30">
        <v>75</v>
      </c>
      <c r="C198" s="28">
        <f t="shared" si="16"/>
      </c>
      <c r="D198" s="28">
        <f t="shared" si="11"/>
      </c>
      <c r="E198" s="31">
        <f t="shared" si="15"/>
      </c>
      <c r="F198" s="63">
        <f t="shared" si="12"/>
      </c>
      <c r="G198" s="64">
        <f t="shared" si="13"/>
      </c>
    </row>
    <row r="199" spans="1:7" ht="16">
      <c r="A199" s="62">
        <f t="shared" si="10"/>
      </c>
      <c r="B199" t="s" s="30">
        <v>76</v>
      </c>
      <c r="C199" s="28">
        <f t="shared" si="16"/>
      </c>
      <c r="D199" s="28">
        <f t="shared" si="11"/>
      </c>
      <c r="E199" s="31">
        <f t="shared" si="15"/>
      </c>
      <c r="F199" s="63">
        <f t="shared" si="12"/>
      </c>
      <c r="G199" s="64">
        <f t="shared" si="13"/>
      </c>
    </row>
    <row r="200" spans="1:7" ht="16">
      <c r="A200" s="65">
        <f t="shared" si="10"/>
      </c>
      <c r="B200" t="s" s="30">
        <v>77</v>
      </c>
      <c r="C200" s="28">
        <f>11*150</f>
      </c>
      <c r="D200" s="28">
        <f t="shared" si="11"/>
      </c>
      <c r="E200" s="31">
        <f t="shared" si="15"/>
      </c>
      <c r="F200" s="63">
        <f t="shared" si="12"/>
      </c>
      <c r="G200" s="64">
        <f t="shared" si="13"/>
      </c>
    </row>
    <row r="201" spans="1:7" ht="16">
      <c r="A201" s="66">
        <f t="shared" ref="A201:A219" si="17">A83</f>
      </c>
      <c r="B201" t="s" s="27">
        <v>78</v>
      </c>
      <c r="C201" s="28">
        <f>11*100</f>
      </c>
      <c r="D201" s="28">
        <f t="shared" ref="D201:D219" si="18">A201*C201</f>
      </c>
      <c r="E201" s="31">
        <f t="shared" si="15"/>
      </c>
      <c r="F201" s="63">
        <f t="shared" ref="F201:F219" si="19">D201*E201/100</f>
      </c>
      <c r="G201" s="64">
        <f t="shared" ref="G201:G219" si="20">D201+F201</f>
      </c>
    </row>
    <row r="202" spans="1:7" ht="16">
      <c r="A202" s="66">
        <f t="shared" si="17"/>
      </c>
      <c r="B202" t="s" s="67">
        <v>79</v>
      </c>
      <c r="C202" s="28">
        <f>C200</f>
      </c>
      <c r="D202" s="28">
        <f t="shared" si="18"/>
      </c>
      <c r="E202" s="31">
        <f t="shared" si="15"/>
      </c>
      <c r="F202" s="63">
        <f t="shared" si="19"/>
      </c>
      <c r="G202" s="64">
        <f t="shared" si="20"/>
      </c>
    </row>
    <row r="203" spans="1:7" ht="16">
      <c r="A203" s="68">
        <f t="shared" si="17"/>
      </c>
      <c r="B203" t="s" s="36">
        <v>80</v>
      </c>
      <c r="C203" s="69">
        <f>C201</f>
      </c>
      <c r="D203" s="28">
        <f t="shared" si="18"/>
      </c>
      <c r="E203" s="31">
        <f t="shared" si="15"/>
      </c>
      <c r="F203" s="63">
        <f t="shared" si="19"/>
      </c>
      <c r="G203" s="64">
        <f t="shared" si="20"/>
      </c>
    </row>
    <row r="204" spans="1:7" ht="16">
      <c r="A204" s="66">
        <f t="shared" si="17"/>
      </c>
      <c r="B204" t="s" s="34">
        <v>81</v>
      </c>
      <c r="C204" s="35">
        <f>C86</f>
      </c>
      <c r="D204" s="28">
        <f t="shared" si="18"/>
      </c>
      <c r="E204" s="31">
        <f t="shared" si="15"/>
      </c>
      <c r="F204" s="63">
        <f t="shared" si="19"/>
      </c>
      <c r="G204" s="64">
        <f t="shared" si="20"/>
      </c>
    </row>
    <row r="205" spans="1:7" ht="16">
      <c r="A205" s="66">
        <f t="shared" si="17"/>
      </c>
      <c r="B205" t="s" s="34">
        <v>82</v>
      </c>
      <c r="C205" s="35">
        <f>15*100</f>
      </c>
      <c r="D205" s="28">
        <f t="shared" si="18"/>
      </c>
      <c r="E205" s="31">
        <f t="shared" si="15"/>
      </c>
      <c r="F205" s="63">
        <f t="shared" si="19"/>
      </c>
      <c r="G205" s="64">
        <f t="shared" si="20"/>
      </c>
    </row>
    <row r="206" spans="1:7" ht="16">
      <c r="A206" s="66">
        <f t="shared" si="17"/>
      </c>
      <c r="B206" t="s" s="34">
        <v>83</v>
      </c>
      <c r="C206" s="35">
        <f>C204</f>
      </c>
      <c r="D206" s="28">
        <f t="shared" si="18"/>
      </c>
      <c r="E206" s="31">
        <f t="shared" si="15"/>
      </c>
      <c r="F206" s="63">
        <f t="shared" si="19"/>
      </c>
      <c r="G206" s="64">
        <f t="shared" si="20"/>
      </c>
    </row>
    <row r="207" spans="1:7" ht="16">
      <c r="A207" s="66">
        <f t="shared" si="17"/>
      </c>
      <c r="B207" t="s" s="34">
        <v>84</v>
      </c>
      <c r="C207" s="35">
        <f>C205</f>
      </c>
      <c r="D207" s="28">
        <f t="shared" si="18"/>
      </c>
      <c r="E207" s="31">
        <f t="shared" si="15"/>
      </c>
      <c r="F207" s="63">
        <f t="shared" si="19"/>
      </c>
      <c r="G207" s="64">
        <f t="shared" si="20"/>
      </c>
    </row>
    <row r="208" spans="1:7" ht="16">
      <c r="A208" s="66">
        <f t="shared" si="17"/>
      </c>
      <c r="B208" t="s" s="34">
        <v>85</v>
      </c>
      <c r="C208" s="35">
        <f>C206</f>
      </c>
      <c r="D208" s="28">
        <f t="shared" si="18"/>
      </c>
      <c r="E208" s="31">
        <f t="shared" si="15"/>
      </c>
      <c r="F208" s="63">
        <f t="shared" si="19"/>
      </c>
      <c r="G208" s="64">
        <f t="shared" si="20"/>
      </c>
    </row>
    <row r="209" spans="1:7" ht="16">
      <c r="A209" s="70">
        <f t="shared" si="17"/>
      </c>
      <c r="B209" t="s" s="34">
        <v>86</v>
      </c>
      <c r="C209" s="71">
        <v>1500</v>
      </c>
      <c r="D209" s="28">
        <f t="shared" si="18"/>
      </c>
      <c r="E209" s="31">
        <f t="shared" si="15"/>
      </c>
      <c r="F209" s="63">
        <f t="shared" si="19"/>
      </c>
      <c r="G209" s="64">
        <f t="shared" si="20"/>
      </c>
    </row>
    <row r="210" spans="1:7" ht="16">
      <c r="A210" s="70">
        <f t="shared" si="17"/>
      </c>
      <c r="B210" t="s" s="34">
        <v>87</v>
      </c>
      <c r="C210" s="71">
        <v>2550</v>
      </c>
      <c r="D210" s="28">
        <f t="shared" si="18"/>
      </c>
      <c r="E210" s="31">
        <f t="shared" si="15"/>
      </c>
      <c r="F210" s="63">
        <f t="shared" si="19"/>
      </c>
      <c r="G210" s="64">
        <f t="shared" si="20"/>
      </c>
    </row>
    <row r="211" spans="1:7" ht="16">
      <c r="A211" s="70">
        <f t="shared" si="17"/>
      </c>
      <c r="B211" t="s" s="34">
        <v>88</v>
      </c>
      <c r="C211" s="71">
        <v>1700</v>
      </c>
      <c r="D211" s="28">
        <f t="shared" si="18"/>
      </c>
      <c r="E211" s="31">
        <f t="shared" si="15"/>
      </c>
      <c r="F211" s="63">
        <f t="shared" si="19"/>
      </c>
      <c r="G211" s="64">
        <f t="shared" si="20"/>
      </c>
    </row>
    <row r="212" spans="1:7" ht="16">
      <c r="A212" s="70">
        <f t="shared" si="17"/>
      </c>
      <c r="B212" t="s" s="34">
        <v>89</v>
      </c>
      <c r="C212" s="71">
        <f>17*150</f>
      </c>
      <c r="D212" s="28">
        <f t="shared" si="18"/>
      </c>
      <c r="E212" s="31">
        <f t="shared" si="15"/>
      </c>
      <c r="F212" s="63">
        <f t="shared" si="19"/>
      </c>
      <c r="G212" s="64">
        <f t="shared" si="20"/>
      </c>
    </row>
    <row r="213" spans="1:7" ht="16">
      <c r="A213" s="70">
        <f t="shared" si="17"/>
      </c>
      <c r="B213" t="s" s="34">
        <v>90</v>
      </c>
      <c r="C213" s="71">
        <f>17*100</f>
      </c>
      <c r="D213" s="28">
        <f t="shared" si="18"/>
      </c>
      <c r="E213" s="31">
        <f t="shared" si="15"/>
      </c>
      <c r="F213" s="63">
        <f t="shared" si="19"/>
      </c>
      <c r="G213" s="64">
        <f t="shared" si="20"/>
      </c>
    </row>
    <row r="214" spans="1:7" ht="16">
      <c r="A214" s="70">
        <f t="shared" si="17"/>
      </c>
      <c r="B214" t="s" s="34">
        <v>91</v>
      </c>
      <c r="C214" s="71">
        <f>C212</f>
      </c>
      <c r="D214" s="28">
        <f t="shared" si="18"/>
      </c>
      <c r="E214" s="31">
        <f t="shared" si="15"/>
      </c>
      <c r="F214" s="63">
        <f t="shared" si="19"/>
      </c>
      <c r="G214" s="64">
        <f t="shared" si="20"/>
      </c>
    </row>
    <row r="215" spans="1:7" ht="16">
      <c r="A215" s="70">
        <f t="shared" si="17"/>
      </c>
      <c r="B215" t="s" s="34">
        <v>92</v>
      </c>
      <c r="C215" s="71">
        <f>17*100</f>
      </c>
      <c r="D215" s="28">
        <f t="shared" si="18"/>
      </c>
      <c r="E215" s="31">
        <f t="shared" si="15"/>
      </c>
      <c r="F215" s="63">
        <f t="shared" si="19"/>
      </c>
      <c r="G215" s="64">
        <f t="shared" si="20"/>
      </c>
    </row>
    <row r="216" spans="1:7" ht="16">
      <c r="A216" s="70">
        <f t="shared" si="17"/>
      </c>
      <c r="B216" t="s" s="34">
        <v>93</v>
      </c>
      <c r="C216" s="35">
        <f>C214</f>
      </c>
      <c r="D216" s="28">
        <f t="shared" si="18"/>
      </c>
      <c r="E216" s="31">
        <f t="shared" si="15"/>
      </c>
      <c r="F216" s="63">
        <f t="shared" si="19"/>
      </c>
      <c r="G216" s="64">
        <f t="shared" si="20"/>
      </c>
    </row>
    <row r="217" spans="1:7" ht="16">
      <c r="A217" s="70">
        <f t="shared" si="17"/>
      </c>
      <c r="B217" t="s" s="34">
        <v>94</v>
      </c>
      <c r="C217" s="71">
        <f>17*100</f>
      </c>
      <c r="D217" s="28">
        <f t="shared" si="18"/>
      </c>
      <c r="E217" s="31">
        <f t="shared" si="15"/>
      </c>
      <c r="F217" s="63">
        <f t="shared" si="19"/>
      </c>
      <c r="G217" s="64">
        <f t="shared" si="20"/>
      </c>
    </row>
    <row r="218" spans="1:7" ht="16">
      <c r="A218" s="70">
        <f t="shared" si="17"/>
      </c>
      <c r="B218" t="s" s="34">
        <v>95</v>
      </c>
      <c r="C218" s="35">
        <f>C216</f>
      </c>
      <c r="D218" s="28">
        <f t="shared" si="18"/>
      </c>
      <c r="E218" s="31">
        <f t="shared" si="15"/>
      </c>
      <c r="F218" s="63">
        <f t="shared" si="19"/>
      </c>
      <c r="G218" s="64">
        <f t="shared" si="20"/>
      </c>
    </row>
    <row r="219" spans="1:7" ht="16">
      <c r="A219" s="70">
        <f t="shared" si="17"/>
      </c>
      <c r="B219" t="s" s="34">
        <v>96</v>
      </c>
      <c r="C219" s="71">
        <f>17*100</f>
      </c>
      <c r="D219" s="28">
        <f t="shared" si="18"/>
      </c>
      <c r="E219" s="31">
        <v>10</v>
      </c>
      <c r="F219" s="63">
        <f t="shared" si="19"/>
      </c>
      <c r="G219" s="40">
        <f t="shared" si="20"/>
      </c>
    </row>
    <row r="220" spans="1:7" ht="16">
      <c r="A220" t="s" s="229">
        <v>97</v>
      </c>
      <c r="B220" s="229"/>
      <c r="C220" s="229"/>
      <c r="D220" s="72">
        <f>SUM(D137:D219)</f>
      </c>
      <c r="E220" s="73"/>
      <c r="F220" s="72">
        <f>SUM(F137:F219)</f>
      </c>
      <c r="G220" s="72">
        <f>SUM(G137:G219)</f>
      </c>
    </row>
    <row r="221" spans="1:7">
      <c r="A221" t="s" s="74">
        <v>98</v>
      </c>
      <c r="B221" s="75"/>
      <c r="C221" s="75"/>
      <c r="D221" s="230"/>
      <c r="E221" s="230"/>
      <c r="F221" s="231"/>
      <c r="G221" s="40">
        <f>G103</f>
      </c>
    </row>
    <row r="222" spans="1:7" ht="23">
      <c r="A222" t="s" s="232">
        <v>99</v>
      </c>
      <c r="B222" s="232"/>
      <c r="C222" s="232"/>
      <c r="D222" s="232"/>
      <c r="E222" s="232"/>
      <c r="F222" s="233"/>
      <c r="G222" s="76">
        <f>G220+G221</f>
      </c>
    </row>
    <row r="223" spans="1:7">
      <c r="A223" t="s" s="46">
        <v>100</v>
      </c>
      <c r="B223" s="4"/>
      <c r="C223" s="4"/>
      <c r="D223" s="47"/>
      <c r="E223" s="48"/>
      <c r="F223" s="49"/>
      <c r="G223" s="50"/>
    </row>
    <row r="224" spans="1:7">
      <c r="A224" s="4"/>
      <c r="B224" s="4"/>
      <c r="C224" s="4"/>
      <c r="D224" s="47"/>
      <c r="E224" s="48"/>
      <c r="F224" s="49"/>
      <c r="G224" s="50"/>
    </row>
    <row r="225" spans="1:7">
      <c r="A225" t="s" s="4">
        <v>101</v>
      </c>
      <c r="B225" s="4"/>
      <c r="C225" t="s" s="4">
        <v>102</v>
      </c>
      <c r="D225" t="s" s="4">
        <v>103</v>
      </c>
      <c r="E225" s="4"/>
      <c r="F225" s="4"/>
      <c r="G225" t="s" s="4">
        <v>104</v>
      </c>
    </row>
    <row r="226" spans="1:7">
      <c r="A226" s="4"/>
      <c r="B226" s="4"/>
      <c r="C226" s="4"/>
      <c r="D226" s="4"/>
      <c r="E226" s="4"/>
      <c r="F226" s="4"/>
      <c r="G226" s="7"/>
    </row>
    <row r="227" spans="1:7">
      <c r="A227" s="77"/>
      <c r="B227" s="77"/>
      <c r="C227" t="s" s="58">
        <v>291</v>
      </c>
      <c r="D227" s="51"/>
      <c r="E227" t="s" s="218">
        <v>122</v>
      </c>
      <c r="F227" s="218"/>
      <c r="G227" t="s" s="51">
        <v>123</v>
      </c>
    </row>
    <row r="228" spans="1:7">
      <c r="A228" t="s" s="234">
        <v>124</v>
      </c>
      <c r="B228" s="234"/>
      <c r="C228" t="s" s="4">
        <v>125</v>
      </c>
      <c r="D228" s="4"/>
      <c r="E228" t="s" s="208">
        <v>126</v>
      </c>
      <c r="F228" s="208"/>
      <c r="G228" t="s" s="7">
        <v>112</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546E-5EDF-45D8-999B-7F58D35F68A7}">
  <sheetPr/>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t="s" s="200">
        <v>198</v>
      </c>
      <c r="C2" s="201"/>
    </row>
    <row r="3" spans="2:3">
      <c r="B3" t="s" s="139">
        <v>190</v>
      </c>
      <c r="C3" s="146">
        <v>3809</v>
      </c>
    </row>
    <row r="4" spans="2:3">
      <c r="B4" t="s" s="139">
        <v>189</v>
      </c>
      <c r="C4" s="146">
        <f>'00 ACC DETAILS 01'!C4</f>
      </c>
    </row>
    <row r="5" spans="2:3">
      <c r="B5" t="s" s="139">
        <v>197</v>
      </c>
      <c r="C5" s="146">
        <f>'00 ACC DETAILS 01'!C5</f>
      </c>
    </row>
    <row r="6" spans="2:3">
      <c r="B6" t="s" s="139">
        <v>195</v>
      </c>
      <c r="C6" s="146"/>
    </row>
    <row r="7" spans="2:3">
      <c r="B7" t="s" s="147">
        <v>148</v>
      </c>
      <c r="C7" s="146">
        <f>'00 ACC DETAILS 01'!C7</f>
      </c>
    </row>
    <row r="8" spans="2:3">
      <c r="B8" t="s" s="147">
        <v>149</v>
      </c>
      <c r="C8" s="146">
        <f>'00 ACC DETAILS 01'!C8</f>
      </c>
    </row>
    <row r="9" spans="2:3">
      <c r="B9" t="s" s="147">
        <v>188</v>
      </c>
      <c r="C9" s="146">
        <f>'00 ACC DETAILS 01'!C9</f>
      </c>
    </row>
    <row r="10" spans="2:3">
      <c r="B10" t="s" s="139">
        <v>196</v>
      </c>
      <c r="C10" s="146"/>
    </row>
    <row r="11" spans="2:3">
      <c r="B11" t="s" s="147">
        <v>148</v>
      </c>
      <c r="C11" t="s" s="146">
        <v>172</v>
      </c>
    </row>
    <row r="12" spans="2:3">
      <c r="B12" t="s" s="147">
        <v>149</v>
      </c>
      <c r="C12" s="146"/>
    </row>
    <row r="13" spans="2:3">
      <c r="B13" t="s" s="147">
        <v>188</v>
      </c>
      <c r="C13" t="s" s="146">
        <v>171</v>
      </c>
    </row>
    <row r="14" spans="2:3">
      <c r="B14" t="s" s="139">
        <v>134</v>
      </c>
      <c r="C14" s="146"/>
    </row>
    <row r="15" spans="2:3">
      <c r="B15" t="s" s="147">
        <v>191</v>
      </c>
      <c r="C15" s="146">
        <f>'00 ACC DETAILS 01'!C15</f>
      </c>
    </row>
    <row r="16" spans="2:3">
      <c r="B16" t="s" s="147">
        <v>192</v>
      </c>
      <c r="C16" s="146">
        <f>'00 ACC DETAILS 01'!C16</f>
      </c>
    </row>
    <row r="17" spans="1:5">
      <c r="B17" t="s" s="147">
        <v>145</v>
      </c>
      <c r="C17" s="146">
        <f>'00 ACC DETAILS 01'!C17</f>
      </c>
    </row>
    <row r="18" spans="1:5">
      <c r="B18" t="s" s="139">
        <v>193</v>
      </c>
      <c r="C18" s="146"/>
    </row>
    <row r="19" spans="1:5">
      <c r="B19" t="s" s="147">
        <v>191</v>
      </c>
      <c r="C19" s="146">
        <f>'00 ACC DETAILS 01'!C19</f>
      </c>
    </row>
    <row r="20" spans="1:5">
      <c r="B20" t="s" s="147">
        <v>192</v>
      </c>
      <c r="C20" s="146">
        <f>'00 ACC DETAILS 01'!C20</f>
      </c>
    </row>
    <row r="21" spans="1:5">
      <c r="B21" t="s" s="147">
        <v>145</v>
      </c>
      <c r="C21" s="146">
        <f>'00 ACC DETAILS 01'!C21</f>
      </c>
    </row>
    <row r="22" spans="1:5">
      <c r="B22" t="s" s="139">
        <v>194</v>
      </c>
      <c r="C22" s="146"/>
    </row>
    <row r="23" spans="1:5">
      <c r="B23" t="s" s="147">
        <v>191</v>
      </c>
      <c r="C23" s="146">
        <f>'00 ACC DETAILS 01'!C23</f>
      </c>
    </row>
    <row r="24" spans="1:5">
      <c r="B24" t="s" s="147">
        <v>192</v>
      </c>
      <c r="C24" s="146">
        <f>'00 ACC DETAILS 01'!C24</f>
      </c>
    </row>
    <row r="25" spans="1:5" ht="16" thickBot="1">
      <c r="B25" t="s" s="148">
        <v>145</v>
      </c>
      <c r="C25" s="149">
        <f>'00 ACC DETAILS 01'!C25</f>
      </c>
    </row>
    <row r="28" spans="1:5" ht="16" thickBot="1">
      <c r="A28" t="s" s="106">
        <v>201</v>
      </c>
    </row>
    <row r="29" spans="1:5" ht="16" thickBot="1">
      <c r="A29" s="154"/>
      <c r="B29" t="s" s="156">
        <v>199</v>
      </c>
      <c r="C29" t="s" s="157">
        <v>200</v>
      </c>
      <c r="D29" t="s" s="157">
        <v>7</v>
      </c>
      <c r="E29" s="155"/>
    </row>
    <row r="30" spans="1:5" ht="16">
      <c r="A30" s="150">
        <v>1</v>
      </c>
      <c r="B30" s="151"/>
      <c r="C30" s="151"/>
      <c r="D30" s="152"/>
      <c r="E30" s="153">
        <f>IF(ISBLANK(B30),0,IF(C30&lt;2000,RIGHT(C30,2),C30)&amp;"-"&amp;IF(B30="wet","W","D"))</f>
      </c>
    </row>
    <row r="31" spans="1:5" ht="16">
      <c r="A31" s="139">
        <v>2</v>
      </c>
      <c r="B31" s="135"/>
      <c r="C31" s="135"/>
      <c r="D31" s="136"/>
      <c r="E31" s="140">
        <f t="shared" ref="E31:E94" si="0">IF(ISBLANK(B31),0,IF(C31&lt;2000,RIGHT(C31,2),C31)&amp;"-"&amp;IF(B31="wet","W","D"))</f>
      </c>
    </row>
    <row r="32" spans="1:5" ht="16">
      <c r="A32" s="139">
        <v>3</v>
      </c>
      <c r="B32" s="135"/>
      <c r="C32" s="135"/>
      <c r="D32" s="136"/>
      <c r="E32" s="140">
        <f t="shared" si="0"/>
      </c>
    </row>
    <row r="33" spans="1:5" ht="16">
      <c r="A33" s="139">
        <v>4</v>
      </c>
      <c r="B33" s="135"/>
      <c r="C33" s="135"/>
      <c r="D33" s="136"/>
      <c r="E33" s="140">
        <f t="shared" si="0"/>
      </c>
    </row>
    <row r="34" spans="1:5" ht="16">
      <c r="A34" s="139">
        <v>5</v>
      </c>
      <c r="B34" s="135"/>
      <c r="C34" s="135"/>
      <c r="D34" s="136"/>
      <c r="E34" s="140">
        <f t="shared" si="0"/>
      </c>
    </row>
    <row r="35" spans="1:5" ht="16">
      <c r="A35" s="139">
        <v>6</v>
      </c>
      <c r="B35" s="135"/>
      <c r="C35" s="135"/>
      <c r="D35" s="136"/>
      <c r="E35" s="140">
        <f t="shared" si="0"/>
      </c>
    </row>
    <row r="36" spans="1:5" ht="16">
      <c r="A36" s="139">
        <v>7</v>
      </c>
      <c r="B36" s="135"/>
      <c r="C36" s="135"/>
      <c r="D36" s="136"/>
      <c r="E36" s="140">
        <f t="shared" si="0"/>
      </c>
    </row>
    <row r="37" spans="1:5" ht="16">
      <c r="A37" s="139">
        <v>8</v>
      </c>
      <c r="B37" s="135"/>
      <c r="C37" s="135"/>
      <c r="D37" s="136"/>
      <c r="E37" s="140">
        <f t="shared" si="0"/>
      </c>
    </row>
    <row r="38" spans="1:5" ht="16">
      <c r="A38" s="139">
        <v>9</v>
      </c>
      <c r="B38" s="135"/>
      <c r="C38" s="135"/>
      <c r="D38" s="136"/>
      <c r="E38" s="140">
        <f t="shared" si="0"/>
      </c>
    </row>
    <row r="39" spans="1:5" ht="16">
      <c r="A39" s="139">
        <v>10</v>
      </c>
      <c r="B39" s="135"/>
      <c r="C39" s="135"/>
      <c r="D39" s="136"/>
      <c r="E39" s="140">
        <f t="shared" si="0"/>
      </c>
    </row>
    <row r="40" spans="1:5" ht="16">
      <c r="A40" s="139">
        <v>11</v>
      </c>
      <c r="B40" s="135"/>
      <c r="C40" s="135"/>
      <c r="D40" s="136"/>
      <c r="E40" s="140">
        <f t="shared" si="0"/>
      </c>
    </row>
    <row r="41" spans="1:5" ht="16">
      <c r="A41" s="139">
        <v>12</v>
      </c>
      <c r="B41" s="135"/>
      <c r="C41" s="135"/>
      <c r="D41" s="136"/>
      <c r="E41" s="140">
        <f t="shared" si="0"/>
      </c>
    </row>
    <row r="42" spans="1:5" ht="16">
      <c r="A42" s="139">
        <v>13</v>
      </c>
      <c r="B42" s="135"/>
      <c r="C42" s="135"/>
      <c r="D42" s="136"/>
      <c r="E42" s="140">
        <f t="shared" si="0"/>
      </c>
    </row>
    <row r="43" spans="1:5" ht="16">
      <c r="A43" s="139">
        <v>14</v>
      </c>
      <c r="B43" s="135"/>
      <c r="C43" s="135"/>
      <c r="D43" s="136"/>
      <c r="E43" s="140">
        <f t="shared" si="0"/>
      </c>
    </row>
    <row r="44" spans="1:5" ht="16">
      <c r="A44" s="139">
        <v>15</v>
      </c>
      <c r="B44" s="135"/>
      <c r="C44" s="135"/>
      <c r="D44" s="136"/>
      <c r="E44" s="140">
        <f t="shared" si="0"/>
      </c>
    </row>
    <row r="45" spans="1:5" ht="16">
      <c r="A45" s="139">
        <v>16</v>
      </c>
      <c r="B45" s="135"/>
      <c r="C45" s="135"/>
      <c r="D45" s="136"/>
      <c r="E45" s="140">
        <f t="shared" si="0"/>
      </c>
    </row>
    <row r="46" spans="1:5" ht="16">
      <c r="A46" s="139">
        <v>17</v>
      </c>
      <c r="B46" s="135"/>
      <c r="C46" s="135"/>
      <c r="D46" s="136"/>
      <c r="E46" s="140">
        <f t="shared" si="0"/>
      </c>
    </row>
    <row r="47" spans="1:5" ht="16">
      <c r="A47" s="139">
        <v>18</v>
      </c>
      <c r="B47" s="135"/>
      <c r="C47" s="135"/>
      <c r="D47" s="136"/>
      <c r="E47" s="140">
        <f t="shared" si="0"/>
      </c>
    </row>
    <row r="48" spans="1:5" ht="16">
      <c r="A48" s="139">
        <v>19</v>
      </c>
      <c r="B48" s="135"/>
      <c r="C48" s="135"/>
      <c r="D48" s="136"/>
      <c r="E48" s="140">
        <f t="shared" si="0"/>
      </c>
    </row>
    <row r="49" spans="1:5" ht="16">
      <c r="A49" s="139">
        <v>20</v>
      </c>
      <c r="B49" s="135"/>
      <c r="C49" s="135"/>
      <c r="D49" s="136"/>
      <c r="E49" s="140">
        <f t="shared" si="0"/>
      </c>
    </row>
    <row r="50" spans="1:5" ht="16">
      <c r="A50" s="139">
        <v>21</v>
      </c>
      <c r="B50" s="135"/>
      <c r="C50" s="135"/>
      <c r="D50" s="136"/>
      <c r="E50" s="140">
        <f t="shared" si="0"/>
      </c>
    </row>
    <row r="51" spans="1:5" ht="16">
      <c r="A51" s="139">
        <v>22</v>
      </c>
      <c r="B51" s="135"/>
      <c r="C51" s="135"/>
      <c r="D51" s="136"/>
      <c r="E51" s="140">
        <f t="shared" si="0"/>
      </c>
    </row>
    <row r="52" spans="1:5" ht="16">
      <c r="A52" s="139">
        <v>23</v>
      </c>
      <c r="B52" s="135"/>
      <c r="C52" s="135"/>
      <c r="D52" s="136"/>
      <c r="E52" s="140">
        <f t="shared" si="0"/>
      </c>
    </row>
    <row r="53" spans="1:5" ht="16">
      <c r="A53" s="139">
        <v>24</v>
      </c>
      <c r="B53" s="135"/>
      <c r="C53" s="135"/>
      <c r="D53" s="136"/>
      <c r="E53" s="140">
        <f t="shared" si="0"/>
      </c>
    </row>
    <row r="54" spans="1:5" ht="16">
      <c r="A54" s="139">
        <v>25</v>
      </c>
      <c r="B54" s="135"/>
      <c r="C54" s="135"/>
      <c r="D54" s="136"/>
      <c r="E54" s="140">
        <f t="shared" si="0"/>
      </c>
    </row>
    <row r="55" spans="1:5" ht="16">
      <c r="A55" s="139">
        <v>26</v>
      </c>
      <c r="B55" s="135"/>
      <c r="C55" s="135"/>
      <c r="D55" s="136"/>
      <c r="E55" s="140">
        <f t="shared" si="0"/>
      </c>
    </row>
    <row r="56" spans="1:5" ht="16">
      <c r="A56" s="139">
        <v>27</v>
      </c>
      <c r="B56" s="135"/>
      <c r="C56" s="135"/>
      <c r="D56" s="136"/>
      <c r="E56" s="140">
        <f t="shared" si="0"/>
      </c>
    </row>
    <row r="57" spans="1:5" ht="16">
      <c r="A57" s="139">
        <v>28</v>
      </c>
      <c r="B57" s="135"/>
      <c r="C57" s="135"/>
      <c r="D57" s="136"/>
      <c r="E57" s="140">
        <f t="shared" si="0"/>
      </c>
    </row>
    <row r="58" spans="1:5" ht="16">
      <c r="A58" s="139">
        <v>29</v>
      </c>
      <c r="B58" s="135"/>
      <c r="C58" s="135"/>
      <c r="D58" s="136"/>
      <c r="E58" s="140">
        <f t="shared" si="0"/>
      </c>
    </row>
    <row r="59" spans="1:5" ht="16">
      <c r="A59" s="139">
        <v>30</v>
      </c>
      <c r="B59" s="135"/>
      <c r="C59" s="135"/>
      <c r="D59" s="136"/>
      <c r="E59" s="140">
        <f t="shared" si="0"/>
      </c>
    </row>
    <row r="60" spans="1:5" ht="16">
      <c r="A60" s="139">
        <v>31</v>
      </c>
      <c r="B60" s="135"/>
      <c r="C60" s="135"/>
      <c r="D60" s="136"/>
      <c r="E60" s="140">
        <f t="shared" si="0"/>
      </c>
    </row>
    <row r="61" spans="1:5" ht="16">
      <c r="A61" s="139">
        <v>32</v>
      </c>
      <c r="B61" s="135"/>
      <c r="C61" s="135"/>
      <c r="D61" s="136"/>
      <c r="E61" s="140">
        <f t="shared" si="0"/>
      </c>
    </row>
    <row r="62" spans="1:5" ht="16">
      <c r="A62" s="139">
        <v>33</v>
      </c>
      <c r="B62" s="135"/>
      <c r="C62" s="135"/>
      <c r="D62" s="136"/>
      <c r="E62" s="140">
        <f t="shared" si="0"/>
      </c>
    </row>
    <row r="63" spans="1:5" ht="16">
      <c r="A63" s="139">
        <v>34</v>
      </c>
      <c r="B63" s="135"/>
      <c r="C63" s="135"/>
      <c r="D63" s="136"/>
      <c r="E63" s="140">
        <f t="shared" si="0"/>
      </c>
    </row>
    <row r="64" spans="1:5" ht="16">
      <c r="A64" s="139">
        <v>35</v>
      </c>
      <c r="B64" s="135"/>
      <c r="C64" s="135"/>
      <c r="D64" s="136"/>
      <c r="E64" s="140">
        <f t="shared" si="0"/>
      </c>
    </row>
    <row r="65" spans="1:5" ht="16">
      <c r="A65" s="139">
        <v>36</v>
      </c>
      <c r="B65" s="135"/>
      <c r="C65" s="135"/>
      <c r="D65" s="136"/>
      <c r="E65" s="140">
        <f t="shared" si="0"/>
      </c>
    </row>
    <row r="66" spans="1:5" ht="16">
      <c r="A66" s="139">
        <v>37</v>
      </c>
      <c r="B66" s="135"/>
      <c r="C66" s="135"/>
      <c r="D66" s="136"/>
      <c r="E66" s="140">
        <f t="shared" si="0"/>
      </c>
    </row>
    <row r="67" spans="1:5" ht="16">
      <c r="A67" s="139">
        <v>38</v>
      </c>
      <c r="B67" s="135"/>
      <c r="C67" s="135"/>
      <c r="D67" s="136"/>
      <c r="E67" s="140">
        <f t="shared" si="0"/>
      </c>
    </row>
    <row r="68" spans="1:5" ht="16">
      <c r="A68" s="139">
        <v>39</v>
      </c>
      <c r="B68" s="135"/>
      <c r="C68" s="135"/>
      <c r="D68" s="136"/>
      <c r="E68" s="140">
        <f t="shared" si="0"/>
      </c>
    </row>
    <row r="69" spans="1:5" ht="16">
      <c r="A69" s="139">
        <v>40</v>
      </c>
      <c r="B69" s="135"/>
      <c r="C69" s="135"/>
      <c r="D69" s="136"/>
      <c r="E69" s="140">
        <f t="shared" si="0"/>
      </c>
    </row>
    <row r="70" spans="1:5" ht="16">
      <c r="A70" s="139">
        <v>41</v>
      </c>
      <c r="B70" s="138"/>
      <c r="C70" s="138"/>
      <c r="D70" s="137"/>
      <c r="E70" s="140">
        <f t="shared" si="0"/>
      </c>
    </row>
    <row r="71" spans="1:5" ht="16">
      <c r="A71" s="139">
        <v>42</v>
      </c>
      <c r="B71" s="138"/>
      <c r="C71" s="138"/>
      <c r="D71" s="137"/>
      <c r="E71" s="140">
        <f t="shared" si="0"/>
      </c>
    </row>
    <row r="72" spans="1:5" ht="16">
      <c r="A72" s="139">
        <v>43</v>
      </c>
      <c r="B72" s="138"/>
      <c r="C72" s="138"/>
      <c r="D72" s="137"/>
      <c r="E72" s="140">
        <f t="shared" si="0"/>
      </c>
    </row>
    <row r="73" spans="1:5" ht="16">
      <c r="A73" s="139">
        <v>44</v>
      </c>
      <c r="B73" s="138"/>
      <c r="C73" s="138"/>
      <c r="D73" s="137"/>
      <c r="E73" s="140">
        <f t="shared" si="0"/>
      </c>
    </row>
    <row r="74" spans="1:5" ht="16">
      <c r="A74" s="139">
        <v>45</v>
      </c>
      <c r="B74" s="138"/>
      <c r="C74" s="138"/>
      <c r="D74" s="137"/>
      <c r="E74" s="140">
        <f t="shared" si="0"/>
      </c>
    </row>
    <row r="75" spans="1:5" ht="16">
      <c r="A75" s="139">
        <v>46</v>
      </c>
      <c r="B75" s="138"/>
      <c r="C75" s="138"/>
      <c r="D75" s="137"/>
      <c r="E75" s="140">
        <f t="shared" si="0"/>
      </c>
    </row>
    <row r="76" spans="1:5" ht="16">
      <c r="A76" s="139">
        <v>47</v>
      </c>
      <c r="B76" s="138"/>
      <c r="C76" s="138"/>
      <c r="D76" s="137"/>
      <c r="E76" s="140">
        <f t="shared" si="0"/>
      </c>
    </row>
    <row r="77" spans="1:5" ht="16">
      <c r="A77" s="139">
        <v>48</v>
      </c>
      <c r="B77" s="138"/>
      <c r="C77" s="138"/>
      <c r="D77" s="137"/>
      <c r="E77" s="140">
        <f t="shared" si="0"/>
      </c>
    </row>
    <row r="78" spans="1:5" ht="16">
      <c r="A78" s="139">
        <v>49</v>
      </c>
      <c r="B78" s="138"/>
      <c r="C78" s="138"/>
      <c r="D78" s="137"/>
      <c r="E78" s="140">
        <f t="shared" si="0"/>
      </c>
    </row>
    <row r="79" spans="1:5" ht="16">
      <c r="A79" s="139">
        <v>50</v>
      </c>
      <c r="B79" s="138"/>
      <c r="C79" s="138"/>
      <c r="D79" s="137"/>
      <c r="E79" s="140">
        <f t="shared" si="0"/>
      </c>
    </row>
    <row r="80" spans="1:5" ht="16">
      <c r="A80" s="139">
        <v>51</v>
      </c>
      <c r="B80" s="138"/>
      <c r="C80" s="138"/>
      <c r="D80" s="137"/>
      <c r="E80" s="140">
        <f t="shared" si="0"/>
      </c>
    </row>
    <row r="81" spans="1:5" ht="16">
      <c r="A81" s="139">
        <v>52</v>
      </c>
      <c r="B81" s="138"/>
      <c r="C81" s="138"/>
      <c r="D81" s="137"/>
      <c r="E81" s="140">
        <f t="shared" si="0"/>
      </c>
    </row>
    <row r="82" spans="1:5" ht="16">
      <c r="A82" s="139">
        <v>53</v>
      </c>
      <c r="B82" s="138"/>
      <c r="C82" s="138"/>
      <c r="D82" s="137"/>
      <c r="E82" s="140">
        <f t="shared" si="0"/>
      </c>
    </row>
    <row r="83" spans="1:5" ht="16">
      <c r="A83" s="139">
        <v>54</v>
      </c>
      <c r="B83" s="138"/>
      <c r="C83" s="138"/>
      <c r="D83" s="137"/>
      <c r="E83" s="140">
        <f t="shared" si="0"/>
      </c>
    </row>
    <row r="84" spans="1:5" ht="16">
      <c r="A84" s="139">
        <v>55</v>
      </c>
      <c r="B84" s="138"/>
      <c r="C84" s="138"/>
      <c r="D84" s="137"/>
      <c r="E84" s="140">
        <f t="shared" si="0"/>
      </c>
    </row>
    <row r="85" spans="1:5" ht="16">
      <c r="A85" s="139">
        <v>56</v>
      </c>
      <c r="B85" s="138"/>
      <c r="C85" s="138"/>
      <c r="D85" s="137"/>
      <c r="E85" s="140">
        <f t="shared" si="0"/>
      </c>
    </row>
    <row r="86" spans="1:5" ht="16">
      <c r="A86" s="139">
        <v>57</v>
      </c>
      <c r="B86" s="138"/>
      <c r="C86" s="138"/>
      <c r="D86" s="137"/>
      <c r="E86" s="140">
        <f t="shared" si="0"/>
      </c>
    </row>
    <row r="87" spans="1:5" ht="16">
      <c r="A87" s="139">
        <v>58</v>
      </c>
      <c r="B87" s="138"/>
      <c r="C87" s="138"/>
      <c r="D87" s="137"/>
      <c r="E87" s="140">
        <f t="shared" si="0"/>
      </c>
    </row>
    <row r="88" spans="1:5" ht="16">
      <c r="A88" s="139">
        <v>59</v>
      </c>
      <c r="B88" s="138"/>
      <c r="C88" s="138"/>
      <c r="D88" s="137"/>
      <c r="E88" s="140">
        <f t="shared" si="0"/>
      </c>
    </row>
    <row r="89" spans="1:5" ht="16">
      <c r="A89" s="139">
        <v>60</v>
      </c>
      <c r="B89" s="138"/>
      <c r="C89" s="138"/>
      <c r="D89" s="137"/>
      <c r="E89" s="140">
        <f t="shared" si="0"/>
      </c>
    </row>
    <row r="90" spans="1:5" ht="16">
      <c r="A90" s="139">
        <v>61</v>
      </c>
      <c r="B90" s="138"/>
      <c r="C90" s="138"/>
      <c r="D90" s="137"/>
      <c r="E90" s="140">
        <f t="shared" si="0"/>
      </c>
    </row>
    <row r="91" spans="1:5" ht="16">
      <c r="A91" s="139">
        <v>62</v>
      </c>
      <c r="B91" s="138"/>
      <c r="C91" s="138"/>
      <c r="D91" s="137"/>
      <c r="E91" s="140">
        <f t="shared" si="0"/>
      </c>
    </row>
    <row r="92" spans="1:5" ht="16">
      <c r="A92" s="139">
        <v>63</v>
      </c>
      <c r="B92" s="138"/>
      <c r="C92" s="138"/>
      <c r="D92" s="137"/>
      <c r="E92" s="140">
        <f t="shared" si="0"/>
      </c>
    </row>
    <row r="93" spans="1:5" ht="16">
      <c r="A93" s="139">
        <v>64</v>
      </c>
      <c r="B93" s="138"/>
      <c r="C93" s="138"/>
      <c r="D93" s="137"/>
      <c r="E93" s="140">
        <f t="shared" si="0"/>
      </c>
    </row>
    <row r="94" spans="1:5" ht="16">
      <c r="A94" s="139">
        <v>65</v>
      </c>
      <c r="B94" s="138"/>
      <c r="C94" s="138"/>
      <c r="D94" s="137"/>
      <c r="E94" s="140">
        <f t="shared" si="0"/>
      </c>
    </row>
    <row r="95" spans="1:5" ht="16">
      <c r="A95" s="139">
        <v>66</v>
      </c>
      <c r="B95" s="138"/>
      <c r="C95" s="138"/>
      <c r="D95" s="137"/>
      <c r="E95" s="140">
        <f t="shared" ref="E95:E112" si="1">IF(ISBLANK(B95),0,IF(C95&lt;2000,RIGHT(C95,2),C95)&amp;"-"&amp;IF(B95="wet","W","D"))</f>
      </c>
    </row>
    <row r="96" spans="1:5" ht="16">
      <c r="A96" s="139">
        <v>67</v>
      </c>
      <c r="B96" s="138"/>
      <c r="C96" s="138"/>
      <c r="D96" s="137"/>
      <c r="E96" s="140">
        <f t="shared" si="1"/>
      </c>
    </row>
    <row r="97" spans="1:5" ht="16">
      <c r="A97" s="139">
        <v>68</v>
      </c>
      <c r="B97" s="138"/>
      <c r="C97" s="138"/>
      <c r="D97" s="137"/>
      <c r="E97" s="140">
        <f t="shared" si="1"/>
      </c>
    </row>
    <row r="98" spans="1:5" ht="16">
      <c r="A98" s="139">
        <v>69</v>
      </c>
      <c r="B98" s="138"/>
      <c r="C98" s="138"/>
      <c r="D98" s="137"/>
      <c r="E98" s="140">
        <f t="shared" si="1"/>
      </c>
    </row>
    <row r="99" spans="1:5" ht="16">
      <c r="A99" s="139">
        <v>70</v>
      </c>
      <c r="B99" s="138"/>
      <c r="C99" s="138"/>
      <c r="D99" s="137"/>
      <c r="E99" s="140">
        <f t="shared" si="1"/>
      </c>
    </row>
    <row r="100" spans="1:5" ht="16">
      <c r="A100" s="139">
        <v>71</v>
      </c>
      <c r="B100" s="138"/>
      <c r="C100" s="138"/>
      <c r="D100" s="137"/>
      <c r="E100" s="140">
        <f t="shared" si="1"/>
      </c>
    </row>
    <row r="101" spans="1:5" ht="16">
      <c r="A101" s="139">
        <v>72</v>
      </c>
      <c r="B101" s="138"/>
      <c r="C101" s="138"/>
      <c r="D101" s="137"/>
      <c r="E101" s="140">
        <f t="shared" si="1"/>
      </c>
    </row>
    <row r="102" spans="1:5" ht="16">
      <c r="A102" s="139">
        <v>73</v>
      </c>
      <c r="B102" s="138"/>
      <c r="C102" s="138"/>
      <c r="D102" s="137"/>
      <c r="E102" s="140">
        <f t="shared" si="1"/>
      </c>
    </row>
    <row r="103" spans="1:5" ht="16">
      <c r="A103" s="139">
        <v>74</v>
      </c>
      <c r="B103" s="138"/>
      <c r="C103" s="138"/>
      <c r="D103" s="137"/>
      <c r="E103" s="140">
        <f t="shared" si="1"/>
      </c>
    </row>
    <row r="104" spans="1:5" ht="16">
      <c r="A104" s="139">
        <v>75</v>
      </c>
      <c r="B104" s="138"/>
      <c r="C104" s="138"/>
      <c r="D104" s="137"/>
      <c r="E104" s="140">
        <f t="shared" si="1"/>
      </c>
    </row>
    <row r="105" spans="1:5" ht="16">
      <c r="A105" s="139">
        <v>76</v>
      </c>
      <c r="B105" s="138"/>
      <c r="C105" s="138"/>
      <c r="D105" s="137"/>
      <c r="E105" s="140">
        <f t="shared" si="1"/>
      </c>
    </row>
    <row r="106" spans="1:5" ht="16">
      <c r="A106" s="139">
        <v>77</v>
      </c>
      <c r="B106" s="138"/>
      <c r="C106" s="138"/>
      <c r="D106" s="137"/>
      <c r="E106" s="140">
        <f t="shared" si="1"/>
      </c>
    </row>
    <row r="107" spans="1:5" ht="16">
      <c r="A107" s="139">
        <v>78</v>
      </c>
      <c r="B107" s="138"/>
      <c r="C107" s="138"/>
      <c r="D107" s="137"/>
      <c r="E107" s="140">
        <f t="shared" si="1"/>
      </c>
    </row>
    <row r="108" spans="1:5" ht="16">
      <c r="A108" s="139">
        <v>79</v>
      </c>
      <c r="B108" s="138"/>
      <c r="C108" s="138"/>
      <c r="D108" s="137"/>
      <c r="E108" s="140">
        <f t="shared" si="1"/>
      </c>
    </row>
    <row r="109" spans="1:5" ht="16">
      <c r="A109" s="139">
        <v>80</v>
      </c>
      <c r="B109" s="138"/>
      <c r="C109" s="138"/>
      <c r="D109" s="137"/>
      <c r="E109" s="140">
        <f t="shared" si="1"/>
      </c>
    </row>
    <row r="110" spans="1:5" ht="16">
      <c r="A110" s="139">
        <v>81</v>
      </c>
      <c r="B110" s="138"/>
      <c r="C110" s="138"/>
      <c r="D110" s="137"/>
      <c r="E110" s="140">
        <f t="shared" si="1"/>
      </c>
    </row>
    <row r="111" spans="1:5" ht="16">
      <c r="A111" s="139">
        <v>82</v>
      </c>
      <c r="B111" s="138"/>
      <c r="C111" s="138"/>
      <c r="D111" s="137"/>
      <c r="E111" s="140">
        <f t="shared" si="1"/>
      </c>
    </row>
    <row r="112" spans="1:5" ht="17" thickBot="1">
      <c r="A112" s="141">
        <v>83</v>
      </c>
      <c r="B112" s="142"/>
      <c r="C112" s="142"/>
      <c r="D112" s="143"/>
      <c r="E112" s="144">
        <f t="shared" si="1"/>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6EC4-16AD-41A4-A030-4BA9D1461C73}">
  <sheetPr/>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21"/>
      <c r="B1" s="221"/>
      <c r="C1" s="221"/>
      <c r="D1" s="221"/>
      <c r="E1" s="221"/>
      <c r="F1" s="221"/>
      <c r="G1" s="221"/>
    </row>
    <row r="2" spans="1:7" ht="23">
      <c r="A2" s="222"/>
      <c r="B2" s="222"/>
      <c r="C2" s="222"/>
      <c r="D2" s="222"/>
      <c r="E2" s="222"/>
      <c r="F2" s="222"/>
      <c r="G2" s="222"/>
    </row>
    <row r="3" spans="1:7">
      <c r="A3" s="223"/>
      <c r="B3" s="223"/>
      <c r="C3" s="223"/>
      <c r="D3" s="223"/>
      <c r="E3" s="223"/>
      <c r="F3" s="223"/>
      <c r="G3" s="223"/>
    </row>
    <row r="4" spans="1:7" ht="16">
      <c r="A4" s="224"/>
      <c r="B4" s="224"/>
      <c r="C4" s="224"/>
      <c r="D4" s="224"/>
      <c r="E4" s="224"/>
      <c r="F4" s="224"/>
      <c r="G4" s="224"/>
    </row>
    <row r="5" spans="1:7">
      <c r="A5" s="225"/>
      <c r="B5" s="225"/>
      <c r="C5" s="225"/>
      <c r="D5" s="225"/>
      <c r="E5" s="225"/>
      <c r="F5" s="225"/>
      <c r="G5" s="225"/>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t="s" s="202">
        <v>0</v>
      </c>
      <c r="B11" s="202"/>
      <c r="C11" s="202"/>
      <c r="D11" s="202"/>
      <c r="E11" s="202"/>
      <c r="F11" s="202"/>
      <c r="G11" s="202"/>
    </row>
    <row r="12" spans="1:7">
      <c r="A12" s="209">
        <f ca="1">"as of "&amp;TEXT(TODAY(),"mmmm dd, yyyy")</f>
      </c>
      <c r="B12" s="209"/>
      <c r="C12" s="209"/>
      <c r="D12" s="209"/>
      <c r="E12" s="209"/>
      <c r="F12" s="209"/>
      <c r="G12" s="209"/>
    </row>
    <row r="13" spans="1:7">
      <c r="A13" s="210"/>
      <c r="B13" s="210"/>
      <c r="C13" s="6"/>
      <c r="D13" s="7"/>
      <c r="E13" s="4"/>
      <c r="F13" s="7"/>
      <c r="G13" s="7"/>
    </row>
    <row r="14" spans="1:7" ht="20">
      <c r="A14" t="s" s="211">
        <v>1</v>
      </c>
      <c r="B14" s="211"/>
      <c r="C14" s="8"/>
      <c r="D14" s="9"/>
      <c r="E14" s="10"/>
      <c r="F14" t="s" s="11">
        <v>2</v>
      </c>
      <c r="G14" s="12">
        <f>'00 ACC DETAILS 03'!C4&amp;" - "&amp;'00 ACC DETAILS 03'!C5</f>
      </c>
    </row>
    <row r="15" spans="1:7" ht="20">
      <c r="A15" t="s" s="10">
        <v>3</v>
      </c>
      <c r="B15" s="13"/>
      <c r="C15" s="14">
        <f>'00 ACC DETAILS 03'!C3</f>
      </c>
      <c r="D15" s="9"/>
      <c r="E15" s="10"/>
      <c r="F15" t="s" s="11">
        <v>4</v>
      </c>
      <c cm="1" r="G15" s="15">
        <f t="array" ref="G15">IFERROR(0,LOOKUP(2,1/(A19:A101),A19:A101))</f>
      </c>
    </row>
    <row r="16" spans="1:7">
      <c r="A16" t="s" s="10">
        <v>5</v>
      </c>
      <c r="B16" s="16"/>
      <c r="C16" s="17">
        <f>IF(ISBLANK('00 ACC DETAILS 01'!C8),'00 ACC DETAILS 01'!C7&amp;" "&amp;'00 ACC DETAILS 01'!C9,'00 ACC DETAILS 01'!C7&amp;" "&amp;'00 ACC DETAILS 01'!C8&amp;" "&amp;'00 ACC DETAILS 01'!C9)</f>
      </c>
      <c r="D16" s="17"/>
      <c r="E16" t="s" s="10">
        <v>6</v>
      </c>
      <c r="F16" s="212"/>
      <c r="G16" s="212"/>
    </row>
    <row r="17" spans="1:7" ht="16" thickBot="1">
      <c r="A17" t="s" s="10">
        <v>288</v>
      </c>
      <c r="B17" s="10"/>
      <c r="C17" s="17">
        <f>IF(ISBLANK('00 ACC DETAILS 03'!C12),'00 ACC DETAILS 03'!C11&amp;" "&amp;'00 ACC DETAILS 03'!C13,'00 ACC DETAILS 03'!C11&amp;" "&amp;'00 ACC DETAILS 03'!C12&amp;" "&amp;'00 ACC DETAILS 03'!C13)</f>
      </c>
      <c r="D17" s="18"/>
      <c r="E17" t="s" s="10">
        <v>6</v>
      </c>
      <c r="F17" s="212"/>
      <c r="G17" s="212"/>
    </row>
    <row r="18" spans="1:7" ht="16" thickBot="1">
      <c r="A18" t="s" s="19">
        <v>7</v>
      </c>
      <c r="B18" t="s" s="20">
        <v>8</v>
      </c>
      <c r="C18" t="s" s="20">
        <v>9</v>
      </c>
      <c r="D18" t="s" s="20">
        <v>10</v>
      </c>
      <c r="E18" t="s" s="21">
        <v>11</v>
      </c>
      <c r="F18" t="s" s="20">
        <v>12</v>
      </c>
      <c r="G18" t="s" s="20">
        <v>13</v>
      </c>
    </row>
    <row r="19" spans="1:7">
      <c r="A19" s="133">
        <f>IFERROR((LOOKUP(MATCH(B19,'00 ACC DETAILS 03'!$E$30:$E$112,0),'00 ACC DETAILS 03'!$A$30:$A$112,'00 ACC DETAILS 03'!$D$30:$D$112)),0)</f>
      </c>
      <c r="B19" t="s" s="22">
        <v>14</v>
      </c>
      <c r="C19" s="23">
        <f>15*100</f>
      </c>
      <c r="D19" s="23">
        <f t="shared" ref="D19:D82" si="0">A19*C19</f>
      </c>
      <c r="E19" s="24">
        <f>E21+12</f>
      </c>
      <c r="F19" s="25">
        <f t="shared" ref="F19:F82" si="1">D19*E19/100</f>
      </c>
      <c r="G19" s="26">
        <f t="shared" ref="G19:G82" si="2">D19+F19</f>
      </c>
    </row>
    <row r="20" spans="1:7">
      <c r="A20" s="133">
        <f>IFERROR((LOOKUP(MATCH(B20,'00 ACC DETAILS 03'!$E$30:$E$112,0),'00 ACC DETAILS 03'!$A$30:$A$112,'00 ACC DETAILS 03'!$D$30:$D$112)),0)</f>
      </c>
      <c r="B20" t="s" s="27">
        <v>15</v>
      </c>
      <c r="C20" s="28">
        <f>15*150</f>
      </c>
      <c r="D20" s="23">
        <f t="shared" si="0"/>
      </c>
      <c r="E20" s="29">
        <f>E22+12</f>
      </c>
      <c r="F20" s="25">
        <f t="shared" si="1"/>
      </c>
      <c r="G20" s="26">
        <f t="shared" si="2"/>
      </c>
    </row>
    <row r="21" spans="1:7">
      <c r="A21" s="133">
        <f>IFERROR((LOOKUP(MATCH(B21,'00 ACC DETAILS 03'!$E$30:$E$112,0),'00 ACC DETAILS 03'!$A$30:$A$112,'00 ACC DETAILS 03'!$D$30:$D$112)),0)</f>
      </c>
      <c r="B21" t="s" s="27">
        <v>16</v>
      </c>
      <c r="C21" s="28">
        <f t="shared" ref="C21:C63" si="3">C19</f>
      </c>
      <c r="D21" s="23">
        <f t="shared" si="0"/>
      </c>
      <c r="E21" s="29">
        <f>E22+12</f>
      </c>
      <c r="F21" s="25">
        <f t="shared" si="1"/>
      </c>
      <c r="G21" s="26">
        <f t="shared" si="2"/>
      </c>
    </row>
    <row r="22" spans="1:7">
      <c r="A22" s="133">
        <f>IFERROR((LOOKUP(MATCH(B22,'00 ACC DETAILS 03'!$E$30:$E$112,0),'00 ACC DETAILS 03'!$A$30:$A$112,'00 ACC DETAILS 03'!$D$30:$D$112)),0)</f>
      </c>
      <c r="B22" t="s" s="27">
        <v>17</v>
      </c>
      <c r="C22" s="28">
        <f t="shared" si="3"/>
      </c>
      <c r="D22" s="23">
        <f t="shared" si="0"/>
      </c>
      <c r="E22" s="29">
        <f>E24+12</f>
      </c>
      <c r="F22" s="25">
        <f t="shared" si="1"/>
      </c>
      <c r="G22" s="26">
        <f t="shared" si="2"/>
      </c>
    </row>
    <row r="23" spans="1:7">
      <c r="A23" s="133">
        <f>IFERROR((LOOKUP(MATCH(B23,'00 ACC DETAILS 03'!$E$30:$E$112,0),'00 ACC DETAILS 03'!$A$30:$A$112,'00 ACC DETAILS 03'!$D$30:$D$112)),0)</f>
      </c>
      <c r="B23" t="s" s="27">
        <v>18</v>
      </c>
      <c r="C23" s="28">
        <f t="shared" si="3"/>
      </c>
      <c r="D23" s="23">
        <f t="shared" si="0"/>
      </c>
      <c r="E23" s="29">
        <f>E24+12</f>
      </c>
      <c r="F23" s="25">
        <f t="shared" si="1"/>
      </c>
      <c r="G23" s="26">
        <f t="shared" si="2"/>
      </c>
    </row>
    <row r="24" spans="1:7">
      <c r="A24" s="133">
        <f>IFERROR((LOOKUP(MATCH(B24,'00 ACC DETAILS 03'!$E$30:$E$112,0),'00 ACC DETAILS 03'!$A$30:$A$112,'00 ACC DETAILS 03'!$D$30:$D$112)),0)</f>
      </c>
      <c r="B24" t="s" s="27">
        <v>19</v>
      </c>
      <c r="C24" s="28">
        <f t="shared" si="3"/>
      </c>
      <c r="D24" s="23">
        <f t="shared" si="0"/>
      </c>
      <c r="E24" s="29">
        <f>E26+6</f>
      </c>
      <c r="F24" s="25">
        <f t="shared" si="1"/>
      </c>
      <c r="G24" s="26">
        <f t="shared" si="2"/>
      </c>
    </row>
    <row r="25" spans="1:7">
      <c r="A25" s="133">
        <f>IFERROR((LOOKUP(MATCH(B25,'00 ACC DETAILS 03'!$E$30:$E$112,0),'00 ACC DETAILS 03'!$A$30:$A$112,'00 ACC DETAILS 03'!$D$30:$D$112)),0)</f>
      </c>
      <c r="B25" t="s" s="27">
        <v>20</v>
      </c>
      <c r="C25" s="28">
        <f t="shared" si="3"/>
      </c>
      <c r="D25" s="23">
        <f t="shared" si="0"/>
      </c>
      <c r="E25" s="29">
        <f t="shared" ref="E25:E88" si="4">E26+6</f>
      </c>
      <c r="F25" s="25">
        <f t="shared" si="1"/>
      </c>
      <c r="G25" s="26">
        <f t="shared" si="2"/>
      </c>
    </row>
    <row r="26" spans="1:7">
      <c r="A26" s="133">
        <f>IFERROR((LOOKUP(MATCH(B26,'00 ACC DETAILS 03'!$E$30:$E$112,0),'00 ACC DETAILS 03'!$A$30:$A$112,'00 ACC DETAILS 03'!$D$30:$D$112)),0)</f>
      </c>
      <c r="B26" t="s" s="27">
        <v>21</v>
      </c>
      <c r="C26" s="28">
        <f t="shared" si="3"/>
      </c>
      <c r="D26" s="23">
        <f t="shared" si="0"/>
      </c>
      <c r="E26" s="29">
        <f t="shared" si="4"/>
      </c>
      <c r="F26" s="25">
        <f t="shared" si="1"/>
      </c>
      <c r="G26" s="26">
        <f t="shared" si="2"/>
      </c>
    </row>
    <row r="27" spans="1:7">
      <c r="A27" s="133">
        <f>IFERROR((LOOKUP(MATCH(B27,'00 ACC DETAILS 03'!$E$30:$E$112,0),'00 ACC DETAILS 03'!$A$30:$A$112,'00 ACC DETAILS 03'!$D$30:$D$112)),0)</f>
      </c>
      <c r="B27" t="s" s="30">
        <v>22</v>
      </c>
      <c r="C27" s="28">
        <f t="shared" si="3"/>
      </c>
      <c r="D27" s="23">
        <f t="shared" si="0"/>
      </c>
      <c r="E27" s="29">
        <f t="shared" si="4"/>
      </c>
      <c r="F27" s="25">
        <f t="shared" si="1"/>
      </c>
      <c r="G27" s="26">
        <f t="shared" si="2"/>
      </c>
    </row>
    <row r="28" spans="1:7">
      <c r="A28" s="133">
        <f>IFERROR((LOOKUP(MATCH(B28,'00 ACC DETAILS 03'!$E$30:$E$112,0),'00 ACC DETAILS 03'!$A$30:$A$112,'00 ACC DETAILS 03'!$D$30:$D$112)),0)</f>
      </c>
      <c r="B28" t="s" s="30">
        <v>23</v>
      </c>
      <c r="C28" s="28">
        <f t="shared" si="3"/>
      </c>
      <c r="D28" s="23">
        <f t="shared" si="0"/>
      </c>
      <c r="E28" s="29">
        <f t="shared" si="4"/>
      </c>
      <c r="F28" s="25">
        <f t="shared" si="1"/>
      </c>
      <c r="G28" s="26">
        <f t="shared" si="2"/>
      </c>
    </row>
    <row r="29" spans="1:7">
      <c r="A29" s="133">
        <f>IFERROR((LOOKUP(MATCH(B29,'00 ACC DETAILS 03'!$E$30:$E$112,0),'00 ACC DETAILS 03'!$A$30:$A$112,'00 ACC DETAILS 03'!$D$30:$D$112)),0)</f>
      </c>
      <c r="B29" t="s" s="30">
        <v>24</v>
      </c>
      <c r="C29" s="28">
        <f t="shared" si="3"/>
      </c>
      <c r="D29" s="23">
        <f t="shared" si="0"/>
      </c>
      <c r="E29" s="29">
        <f t="shared" si="4"/>
      </c>
      <c r="F29" s="25">
        <f t="shared" si="1"/>
      </c>
      <c r="G29" s="26">
        <f t="shared" si="2"/>
      </c>
    </row>
    <row r="30" spans="1:7">
      <c r="A30" s="133">
        <f>IFERROR((LOOKUP(MATCH(B30,'00 ACC DETAILS 03'!$E$30:$E$112,0),'00 ACC DETAILS 03'!$A$30:$A$112,'00 ACC DETAILS 03'!$D$30:$D$112)),0)</f>
      </c>
      <c r="B30" t="s" s="30">
        <v>25</v>
      </c>
      <c r="C30" s="28">
        <f t="shared" si="3"/>
      </c>
      <c r="D30" s="23">
        <f t="shared" si="0"/>
      </c>
      <c r="E30" s="29">
        <f t="shared" si="4"/>
      </c>
      <c r="F30" s="25">
        <f t="shared" si="1"/>
      </c>
      <c r="G30" s="26">
        <f t="shared" si="2"/>
      </c>
    </row>
    <row r="31" spans="1:7">
      <c r="A31" s="133">
        <f>IFERROR((LOOKUP(MATCH(B31,'00 ACC DETAILS 03'!$E$30:$E$112,0),'00 ACC DETAILS 03'!$A$30:$A$112,'00 ACC DETAILS 03'!$D$30:$D$112)),0)</f>
      </c>
      <c r="B31" t="s" s="30">
        <v>26</v>
      </c>
      <c r="C31" s="28">
        <f t="shared" si="3"/>
      </c>
      <c r="D31" s="23">
        <f t="shared" si="0"/>
      </c>
      <c r="E31" s="29">
        <f t="shared" si="4"/>
      </c>
      <c r="F31" s="25">
        <f t="shared" si="1"/>
      </c>
      <c r="G31" s="26">
        <f t="shared" si="2"/>
      </c>
    </row>
    <row r="32" spans="1:7">
      <c r="A32" s="133">
        <f>IFERROR((LOOKUP(MATCH(B32,'00 ACC DETAILS 03'!$E$30:$E$112,0),'00 ACC DETAILS 03'!$A$30:$A$112,'00 ACC DETAILS 03'!$D$30:$D$112)),0)</f>
      </c>
      <c r="B32" t="s" s="30">
        <v>27</v>
      </c>
      <c r="C32" s="28">
        <f t="shared" si="3"/>
      </c>
      <c r="D32" s="23">
        <f t="shared" si="0"/>
      </c>
      <c r="E32" s="29">
        <f t="shared" si="4"/>
      </c>
      <c r="F32" s="25">
        <f t="shared" si="1"/>
      </c>
      <c r="G32" s="26">
        <f t="shared" si="2"/>
      </c>
    </row>
    <row r="33" spans="1:7">
      <c r="A33" s="133">
        <f>IFERROR((LOOKUP(MATCH(B33,'00 ACC DETAILS 03'!$E$30:$E$112,0),'00 ACC DETAILS 03'!$A$30:$A$112,'00 ACC DETAILS 03'!$D$30:$D$112)),0)</f>
      </c>
      <c r="B33" t="s" s="30">
        <v>28</v>
      </c>
      <c r="C33" s="28">
        <f t="shared" si="3"/>
      </c>
      <c r="D33" s="23">
        <f t="shared" si="0"/>
      </c>
      <c r="E33" s="29">
        <f t="shared" si="4"/>
      </c>
      <c r="F33" s="25">
        <f t="shared" si="1"/>
      </c>
      <c r="G33" s="26">
        <f t="shared" si="2"/>
      </c>
    </row>
    <row r="34" spans="1:7">
      <c r="A34" s="133">
        <f>IFERROR((LOOKUP(MATCH(B34,'00 ACC DETAILS 03'!$E$30:$E$112,0),'00 ACC DETAILS 03'!$A$30:$A$112,'00 ACC DETAILS 03'!$D$30:$D$112)),0)</f>
      </c>
      <c r="B34" t="s" s="30">
        <v>29</v>
      </c>
      <c r="C34" s="28">
        <f t="shared" si="3"/>
      </c>
      <c r="D34" s="23">
        <f t="shared" si="0"/>
      </c>
      <c r="E34" s="29">
        <f t="shared" si="4"/>
      </c>
      <c r="F34" s="25">
        <f t="shared" si="1"/>
      </c>
      <c r="G34" s="26">
        <f t="shared" si="2"/>
      </c>
    </row>
    <row r="35" spans="1:7">
      <c r="A35" s="133">
        <f>IFERROR((LOOKUP(MATCH(B35,'00 ACC DETAILS 03'!$E$30:$E$112,0),'00 ACC DETAILS 03'!$A$30:$A$112,'00 ACC DETAILS 03'!$D$30:$D$112)),0)</f>
      </c>
      <c r="B35" t="s" s="30">
        <v>30</v>
      </c>
      <c r="C35" s="28">
        <f t="shared" si="3"/>
      </c>
      <c r="D35" s="23">
        <f t="shared" si="0"/>
      </c>
      <c r="E35" s="29">
        <f t="shared" si="4"/>
      </c>
      <c r="F35" s="25">
        <f t="shared" si="1"/>
      </c>
      <c r="G35" s="26">
        <f t="shared" si="2"/>
      </c>
    </row>
    <row r="36" spans="1:7">
      <c r="A36" s="133">
        <f>IFERROR((LOOKUP(MATCH(B36,'00 ACC DETAILS 03'!$E$30:$E$112,0),'00 ACC DETAILS 03'!$A$30:$A$112,'00 ACC DETAILS 03'!$D$30:$D$112)),0)</f>
      </c>
      <c r="B36" t="s" s="30">
        <v>31</v>
      </c>
      <c r="C36" s="28">
        <f t="shared" si="3"/>
      </c>
      <c r="D36" s="23">
        <f t="shared" si="0"/>
      </c>
      <c r="E36" s="29">
        <f t="shared" si="4"/>
      </c>
      <c r="F36" s="25">
        <f t="shared" si="1"/>
      </c>
      <c r="G36" s="26">
        <f t="shared" si="2"/>
      </c>
    </row>
    <row r="37" spans="1:7">
      <c r="A37" s="133">
        <f>IFERROR((LOOKUP(MATCH(B37,'00 ACC DETAILS 03'!$E$30:$E$112,0),'00 ACC DETAILS 03'!$A$30:$A$112,'00 ACC DETAILS 03'!$D$30:$D$112)),0)</f>
      </c>
      <c r="B37" t="s" s="30">
        <v>32</v>
      </c>
      <c r="C37" s="28">
        <f t="shared" si="3"/>
      </c>
      <c r="D37" s="23">
        <f t="shared" si="0"/>
      </c>
      <c r="E37" s="29">
        <f t="shared" si="4"/>
      </c>
      <c r="F37" s="25">
        <f t="shared" si="1"/>
      </c>
      <c r="G37" s="26">
        <f t="shared" si="2"/>
      </c>
    </row>
    <row r="38" spans="1:7">
      <c r="A38" s="133">
        <f>IFERROR((LOOKUP(MATCH(B38,'00 ACC DETAILS 03'!$E$30:$E$112,0),'00 ACC DETAILS 03'!$A$30:$A$112,'00 ACC DETAILS 03'!$D$30:$D$112)),0)</f>
      </c>
      <c r="B38" t="s" s="30">
        <v>33</v>
      </c>
      <c r="C38" s="28">
        <f t="shared" si="3"/>
      </c>
      <c r="D38" s="23">
        <f t="shared" si="0"/>
      </c>
      <c r="E38" s="29">
        <f t="shared" si="4"/>
      </c>
      <c r="F38" s="25">
        <f t="shared" si="1"/>
      </c>
      <c r="G38" s="26">
        <f t="shared" si="2"/>
      </c>
    </row>
    <row r="39" spans="1:7">
      <c r="A39" s="133">
        <f>IFERROR((LOOKUP(MATCH(B39,'00 ACC DETAILS 03'!$E$30:$E$112,0),'00 ACC DETAILS 03'!$A$30:$A$112,'00 ACC DETAILS 03'!$D$30:$D$112)),0)</f>
      </c>
      <c r="B39" t="s" s="30">
        <v>34</v>
      </c>
      <c r="C39" s="28">
        <f t="shared" si="3"/>
      </c>
      <c r="D39" s="23">
        <f t="shared" si="0"/>
      </c>
      <c r="E39" s="29">
        <f t="shared" si="4"/>
      </c>
      <c r="F39" s="25">
        <f t="shared" si="1"/>
      </c>
      <c r="G39" s="26">
        <f t="shared" si="2"/>
      </c>
    </row>
    <row r="40" spans="1:7">
      <c r="A40" s="133">
        <f>IFERROR((LOOKUP(MATCH(B40,'00 ACC DETAILS 03'!$E$30:$E$112,0),'00 ACC DETAILS 03'!$A$30:$A$112,'00 ACC DETAILS 03'!$D$30:$D$112)),0)</f>
      </c>
      <c r="B40" t="s" s="30">
        <v>35</v>
      </c>
      <c r="C40" s="28">
        <f t="shared" si="3"/>
      </c>
      <c r="D40" s="23">
        <f t="shared" si="0"/>
      </c>
      <c r="E40" s="29">
        <f t="shared" si="4"/>
      </c>
      <c r="F40" s="25">
        <f t="shared" si="1"/>
      </c>
      <c r="G40" s="26">
        <f t="shared" si="2"/>
      </c>
    </row>
    <row r="41" spans="1:7">
      <c r="A41" s="133">
        <f>IFERROR((LOOKUP(MATCH(B41,'00 ACC DETAILS 03'!$E$30:$E$112,0),'00 ACC DETAILS 03'!$A$30:$A$112,'00 ACC DETAILS 03'!$D$30:$D$112)),0)</f>
      </c>
      <c r="B41" t="s" s="30">
        <v>36</v>
      </c>
      <c r="C41" s="28">
        <f t="shared" si="3"/>
      </c>
      <c r="D41" s="23">
        <f t="shared" si="0"/>
      </c>
      <c r="E41" s="29">
        <f t="shared" si="4"/>
      </c>
      <c r="F41" s="25">
        <f t="shared" si="1"/>
      </c>
      <c r="G41" s="26">
        <f t="shared" si="2"/>
      </c>
    </row>
    <row r="42" spans="1:7">
      <c r="A42" s="133">
        <f>IFERROR((LOOKUP(MATCH(B42,'00 ACC DETAILS 03'!$E$30:$E$112,0),'00 ACC DETAILS 03'!$A$30:$A$112,'00 ACC DETAILS 03'!$D$30:$D$112)),0)</f>
      </c>
      <c r="B42" t="s" s="30">
        <v>37</v>
      </c>
      <c r="C42" s="28">
        <f t="shared" si="3"/>
      </c>
      <c r="D42" s="23">
        <f t="shared" si="0"/>
      </c>
      <c r="E42" s="29">
        <f t="shared" si="4"/>
      </c>
      <c r="F42" s="25">
        <f t="shared" si="1"/>
      </c>
      <c r="G42" s="26">
        <f t="shared" si="2"/>
      </c>
    </row>
    <row r="43" spans="1:7">
      <c r="A43" s="133">
        <f>IFERROR((LOOKUP(MATCH(B43,'00 ACC DETAILS 03'!$E$30:$E$112,0),'00 ACC DETAILS 03'!$A$30:$A$112,'00 ACC DETAILS 03'!$D$30:$D$112)),0)</f>
      </c>
      <c r="B43" t="s" s="30">
        <v>38</v>
      </c>
      <c r="C43" s="28">
        <f t="shared" si="3"/>
      </c>
      <c r="D43" s="23">
        <f t="shared" si="0"/>
      </c>
      <c r="E43" s="29">
        <f t="shared" si="4"/>
      </c>
      <c r="F43" s="25">
        <f t="shared" si="1"/>
      </c>
      <c r="G43" s="26">
        <f t="shared" si="2"/>
      </c>
    </row>
    <row r="44" spans="1:7">
      <c r="A44" s="133">
        <f>IFERROR((LOOKUP(MATCH(B44,'00 ACC DETAILS 03'!$E$30:$E$112,0),'00 ACC DETAILS 03'!$A$30:$A$112,'00 ACC DETAILS 03'!$D$30:$D$112)),0)</f>
      </c>
      <c r="B44" t="s" s="30">
        <v>39</v>
      </c>
      <c r="C44" s="28">
        <f t="shared" si="3"/>
      </c>
      <c r="D44" s="23">
        <f t="shared" si="0"/>
      </c>
      <c r="E44" s="29">
        <f t="shared" si="4"/>
      </c>
      <c r="F44" s="25">
        <f t="shared" si="1"/>
      </c>
      <c r="G44" s="26">
        <f t="shared" si="2"/>
      </c>
    </row>
    <row r="45" spans="1:7">
      <c r="A45" s="133">
        <f>IFERROR((LOOKUP(MATCH(B45,'00 ACC DETAILS 03'!$E$30:$E$112,0),'00 ACC DETAILS 03'!$A$30:$A$112,'00 ACC DETAILS 03'!$D$30:$D$112)),0)</f>
      </c>
      <c r="B45" t="s" s="30">
        <v>40</v>
      </c>
      <c r="C45" s="28">
        <f t="shared" si="3"/>
      </c>
      <c r="D45" s="23">
        <f t="shared" si="0"/>
      </c>
      <c r="E45" s="29">
        <f t="shared" si="4"/>
      </c>
      <c r="F45" s="25">
        <f t="shared" si="1"/>
      </c>
      <c r="G45" s="26">
        <f t="shared" si="2"/>
      </c>
    </row>
    <row r="46" spans="1:7">
      <c r="A46" s="133">
        <f>IFERROR((LOOKUP(MATCH(B46,'00 ACC DETAILS 03'!$E$30:$E$112,0),'00 ACC DETAILS 03'!$A$30:$A$112,'00 ACC DETAILS 03'!$D$30:$D$112)),0)</f>
      </c>
      <c r="B46" t="s" s="30">
        <v>41</v>
      </c>
      <c r="C46" s="28">
        <f t="shared" si="3"/>
      </c>
      <c r="D46" s="23">
        <f t="shared" si="0"/>
      </c>
      <c r="E46" s="29">
        <f t="shared" si="4"/>
      </c>
      <c r="F46" s="25">
        <f t="shared" si="1"/>
      </c>
      <c r="G46" s="26">
        <f t="shared" si="2"/>
      </c>
    </row>
    <row r="47" spans="1:7">
      <c r="A47" s="133">
        <f>IFERROR((LOOKUP(MATCH(B47,'00 ACC DETAILS 03'!$E$30:$E$112,0),'00 ACC DETAILS 03'!$A$30:$A$112,'00 ACC DETAILS 03'!$D$30:$D$112)),0)</f>
      </c>
      <c r="B47" t="s" s="30">
        <v>42</v>
      </c>
      <c r="C47" s="28">
        <f t="shared" si="3"/>
      </c>
      <c r="D47" s="23">
        <f t="shared" si="0"/>
      </c>
      <c r="E47" s="29">
        <f t="shared" si="4"/>
      </c>
      <c r="F47" s="25">
        <f t="shared" si="1"/>
      </c>
      <c r="G47" s="26">
        <f t="shared" si="2"/>
      </c>
    </row>
    <row r="48" spans="1:7">
      <c r="A48" s="133">
        <f>IFERROR((LOOKUP(MATCH(B48,'00 ACC DETAILS 03'!$E$30:$E$112,0),'00 ACC DETAILS 03'!$A$30:$A$112,'00 ACC DETAILS 03'!$D$30:$D$112)),0)</f>
      </c>
      <c r="B48" t="s" s="30">
        <v>43</v>
      </c>
      <c r="C48" s="28">
        <f t="shared" si="3"/>
      </c>
      <c r="D48" s="23">
        <f t="shared" si="0"/>
      </c>
      <c r="E48" s="29">
        <f t="shared" si="4"/>
      </c>
      <c r="F48" s="25">
        <f t="shared" si="1"/>
      </c>
      <c r="G48" s="26">
        <f t="shared" si="2"/>
      </c>
    </row>
    <row r="49" spans="1:7">
      <c r="A49" s="133">
        <f>IFERROR((LOOKUP(MATCH(B49,'00 ACC DETAILS 03'!$E$30:$E$112,0),'00 ACC DETAILS 03'!$A$30:$A$112,'00 ACC DETAILS 03'!$D$30:$D$112)),0)</f>
      </c>
      <c r="B49" t="s" s="30">
        <v>44</v>
      </c>
      <c r="C49" s="28">
        <f t="shared" si="3"/>
      </c>
      <c r="D49" s="23">
        <f t="shared" si="0"/>
      </c>
      <c r="E49" s="29">
        <f t="shared" si="4"/>
      </c>
      <c r="F49" s="25">
        <f t="shared" si="1"/>
      </c>
      <c r="G49" s="26">
        <f t="shared" si="2"/>
      </c>
    </row>
    <row r="50" spans="1:7">
      <c r="A50" s="133">
        <f>IFERROR((LOOKUP(MATCH(B50,'00 ACC DETAILS 03'!$E$30:$E$112,0),'00 ACC DETAILS 03'!$A$30:$A$112,'00 ACC DETAILS 03'!$D$30:$D$112)),0)</f>
      </c>
      <c r="B50" t="s" s="30">
        <v>45</v>
      </c>
      <c r="C50" s="28">
        <f t="shared" si="3"/>
      </c>
      <c r="D50" s="23">
        <f t="shared" si="0"/>
      </c>
      <c r="E50" s="29">
        <f t="shared" si="4"/>
      </c>
      <c r="F50" s="25">
        <f t="shared" si="1"/>
      </c>
      <c r="G50" s="26">
        <f t="shared" si="2"/>
      </c>
    </row>
    <row r="51" spans="1:7">
      <c r="A51" s="133">
        <f>IFERROR((LOOKUP(MATCH(B51,'00 ACC DETAILS 03'!$E$30:$E$112,0),'00 ACC DETAILS 03'!$A$30:$A$112,'00 ACC DETAILS 03'!$D$30:$D$112)),0)</f>
      </c>
      <c r="B51" t="s" s="30">
        <v>46</v>
      </c>
      <c r="C51" s="28">
        <f t="shared" si="3"/>
      </c>
      <c r="D51" s="23">
        <f t="shared" si="0"/>
      </c>
      <c r="E51" s="29">
        <f t="shared" si="4"/>
      </c>
      <c r="F51" s="25">
        <f t="shared" si="1"/>
      </c>
      <c r="G51" s="26">
        <f t="shared" si="2"/>
      </c>
    </row>
    <row r="52" spans="1:7">
      <c r="A52" s="133">
        <f>IFERROR((LOOKUP(MATCH(B52,'00 ACC DETAILS 03'!$E$30:$E$112,0),'00 ACC DETAILS 03'!$A$30:$A$112,'00 ACC DETAILS 03'!$D$30:$D$112)),0)</f>
      </c>
      <c r="B52" t="s" s="30">
        <v>47</v>
      </c>
      <c r="C52" s="28">
        <f t="shared" si="3"/>
      </c>
      <c r="D52" s="23">
        <f t="shared" si="0"/>
      </c>
      <c r="E52" s="29">
        <f t="shared" si="4"/>
      </c>
      <c r="F52" s="25">
        <f t="shared" si="1"/>
      </c>
      <c r="G52" s="26">
        <f t="shared" si="2"/>
      </c>
    </row>
    <row r="53" spans="1:7">
      <c r="A53" s="133">
        <f>IFERROR((LOOKUP(MATCH(B53,'00 ACC DETAILS 03'!$E$30:$E$112,0),'00 ACC DETAILS 03'!$A$30:$A$112,'00 ACC DETAILS 03'!$D$30:$D$112)),0)</f>
      </c>
      <c r="B53" t="s" s="30">
        <v>48</v>
      </c>
      <c r="C53" s="28">
        <f t="shared" si="3"/>
      </c>
      <c r="D53" s="23">
        <f t="shared" si="0"/>
      </c>
      <c r="E53" s="29">
        <f t="shared" si="4"/>
      </c>
      <c r="F53" s="25">
        <f t="shared" si="1"/>
      </c>
      <c r="G53" s="26">
        <f t="shared" si="2"/>
      </c>
    </row>
    <row r="54" spans="1:7">
      <c r="A54" s="133">
        <f>IFERROR((LOOKUP(MATCH(B54,'00 ACC DETAILS 03'!$E$30:$E$112,0),'00 ACC DETAILS 03'!$A$30:$A$112,'00 ACC DETAILS 03'!$D$30:$D$112)),0)</f>
      </c>
      <c r="B54" t="s" s="30">
        <v>49</v>
      </c>
      <c r="C54" s="28">
        <f t="shared" si="3"/>
      </c>
      <c r="D54" s="23">
        <f t="shared" si="0"/>
      </c>
      <c r="E54" s="29">
        <f t="shared" si="4"/>
      </c>
      <c r="F54" s="25">
        <f t="shared" si="1"/>
      </c>
      <c r="G54" s="26">
        <f t="shared" si="2"/>
      </c>
    </row>
    <row r="55" spans="1:7">
      <c r="A55" s="133">
        <f>IFERROR((LOOKUP(MATCH(B55,'00 ACC DETAILS 03'!$E$30:$E$112,0),'00 ACC DETAILS 03'!$A$30:$A$112,'00 ACC DETAILS 03'!$D$30:$D$112)),0)</f>
      </c>
      <c r="B55" t="s" s="30">
        <v>50</v>
      </c>
      <c r="C55" s="28">
        <f t="shared" si="3"/>
      </c>
      <c r="D55" s="23">
        <f t="shared" si="0"/>
      </c>
      <c r="E55" s="29">
        <f t="shared" si="4"/>
      </c>
      <c r="F55" s="25">
        <f t="shared" si="1"/>
      </c>
      <c r="G55" s="26">
        <f t="shared" si="2"/>
      </c>
    </row>
    <row r="56" spans="1:7">
      <c r="A56" s="133">
        <f>IFERROR((LOOKUP(MATCH(B56,'00 ACC DETAILS 03'!$E$30:$E$112,0),'00 ACC DETAILS 03'!$A$30:$A$112,'00 ACC DETAILS 03'!$D$30:$D$112)),0)</f>
      </c>
      <c r="B56" t="s" s="30">
        <v>51</v>
      </c>
      <c r="C56" s="28">
        <f t="shared" si="3"/>
      </c>
      <c r="D56" s="23">
        <f t="shared" si="0"/>
      </c>
      <c r="E56" s="29">
        <f t="shared" si="4"/>
      </c>
      <c r="F56" s="25">
        <f t="shared" si="1"/>
      </c>
      <c r="G56" s="26">
        <f t="shared" si="2"/>
      </c>
    </row>
    <row r="57" spans="1:7">
      <c r="A57" s="133">
        <f>IFERROR((LOOKUP(MATCH(B57,'00 ACC DETAILS 03'!$E$30:$E$112,0),'00 ACC DETAILS 03'!$A$30:$A$112,'00 ACC DETAILS 03'!$D$30:$D$112)),0)</f>
      </c>
      <c r="B57" t="s" s="30">
        <v>52</v>
      </c>
      <c r="C57" s="28">
        <f t="shared" si="3"/>
      </c>
      <c r="D57" s="23">
        <f t="shared" si="0"/>
      </c>
      <c r="E57" s="29">
        <f t="shared" si="4"/>
      </c>
      <c r="F57" s="25">
        <f t="shared" si="1"/>
      </c>
      <c r="G57" s="26">
        <f t="shared" si="2"/>
      </c>
    </row>
    <row r="58" spans="1:7">
      <c r="A58" s="133">
        <f>IFERROR((LOOKUP(MATCH(B58,'00 ACC DETAILS 03'!$E$30:$E$112,0),'00 ACC DETAILS 03'!$A$30:$A$112,'00 ACC DETAILS 03'!$D$30:$D$112)),0)</f>
      </c>
      <c r="B58" t="s" s="30">
        <v>53</v>
      </c>
      <c r="C58" s="28">
        <f t="shared" si="3"/>
      </c>
      <c r="D58" s="23">
        <f t="shared" si="0"/>
      </c>
      <c r="E58" s="29">
        <f t="shared" si="4"/>
      </c>
      <c r="F58" s="25">
        <f t="shared" si="1"/>
      </c>
      <c r="G58" s="26">
        <f t="shared" si="2"/>
      </c>
    </row>
    <row r="59" spans="1:7">
      <c r="A59" s="133">
        <f>IFERROR((LOOKUP(MATCH(B59,'00 ACC DETAILS 03'!$E$30:$E$112,0),'00 ACC DETAILS 03'!$A$30:$A$112,'00 ACC DETAILS 03'!$D$30:$D$112)),0)</f>
      </c>
      <c r="B59" t="s" s="30">
        <v>54</v>
      </c>
      <c r="C59" s="28">
        <f t="shared" si="3"/>
      </c>
      <c r="D59" s="23">
        <f t="shared" si="0"/>
      </c>
      <c r="E59" s="29">
        <f t="shared" si="4"/>
      </c>
      <c r="F59" s="25">
        <f t="shared" si="1"/>
      </c>
      <c r="G59" s="26">
        <f t="shared" si="2"/>
      </c>
    </row>
    <row r="60" spans="1:7">
      <c r="A60" s="133">
        <f>IFERROR((LOOKUP(MATCH(B60,'00 ACC DETAILS 03'!$E$30:$E$112,0),'00 ACC DETAILS 03'!$A$30:$A$112,'00 ACC DETAILS 03'!$D$30:$D$112)),0)</f>
      </c>
      <c r="B60" t="s" s="30">
        <v>55</v>
      </c>
      <c r="C60" s="28">
        <f t="shared" si="3"/>
      </c>
      <c r="D60" s="23">
        <f t="shared" si="0"/>
      </c>
      <c r="E60" s="29">
        <f t="shared" si="4"/>
      </c>
      <c r="F60" s="25">
        <f t="shared" si="1"/>
      </c>
      <c r="G60" s="26">
        <f t="shared" si="2"/>
      </c>
    </row>
    <row r="61" spans="1:7">
      <c r="A61" s="133">
        <f>IFERROR((LOOKUP(MATCH(B61,'00 ACC DETAILS 03'!$E$30:$E$112,0),'00 ACC DETAILS 03'!$A$30:$A$112,'00 ACC DETAILS 03'!$D$30:$D$112)),0)</f>
      </c>
      <c r="B61" t="s" s="30">
        <v>56</v>
      </c>
      <c r="C61" s="28">
        <f t="shared" si="3"/>
      </c>
      <c r="D61" s="23">
        <f t="shared" si="0"/>
      </c>
      <c r="E61" s="29">
        <f t="shared" si="4"/>
      </c>
      <c r="F61" s="25">
        <f t="shared" si="1"/>
      </c>
      <c r="G61" s="26">
        <f t="shared" si="2"/>
      </c>
    </row>
    <row r="62" spans="1:7">
      <c r="A62" s="133">
        <f>IFERROR((LOOKUP(MATCH(B62,'00 ACC DETAILS 03'!$E$30:$E$112,0),'00 ACC DETAILS 03'!$A$30:$A$112,'00 ACC DETAILS 03'!$D$30:$D$112)),0)</f>
      </c>
      <c r="B62" t="s" s="30">
        <v>57</v>
      </c>
      <c r="C62" s="28">
        <f t="shared" si="3"/>
      </c>
      <c r="D62" s="23">
        <f t="shared" si="0"/>
      </c>
      <c r="E62" s="29">
        <f t="shared" si="4"/>
      </c>
      <c r="F62" s="25">
        <f t="shared" si="1"/>
      </c>
      <c r="G62" s="26">
        <f t="shared" si="2"/>
      </c>
    </row>
    <row r="63" spans="1:7">
      <c r="A63" s="133">
        <f>IFERROR((LOOKUP(MATCH(B63,'00 ACC DETAILS 03'!$E$30:$E$112,0),'00 ACC DETAILS 03'!$A$30:$A$112,'00 ACC DETAILS 03'!$D$30:$D$112)),0)</f>
      </c>
      <c r="B63" t="s" s="30">
        <v>58</v>
      </c>
      <c r="C63" s="28">
        <f t="shared" si="3"/>
      </c>
      <c r="D63" s="23">
        <f t="shared" si="0"/>
      </c>
      <c r="E63" s="29">
        <f t="shared" si="4"/>
      </c>
      <c r="F63" s="25">
        <f t="shared" si="1"/>
      </c>
      <c r="G63" s="26">
        <f t="shared" si="2"/>
      </c>
    </row>
    <row r="64" spans="1:7">
      <c r="A64" s="133">
        <f>IFERROR((LOOKUP(MATCH(B64,'00 ACC DETAILS 03'!$E$30:$E$112,0),'00 ACC DETAILS 03'!$A$30:$A$112,'00 ACC DETAILS 03'!$D$30:$D$112)),0)</f>
      </c>
      <c r="B64" t="s" s="30">
        <v>59</v>
      </c>
      <c r="C64" s="28">
        <v>0</v>
      </c>
      <c r="D64" s="23">
        <f t="shared" si="0"/>
      </c>
      <c r="E64" s="29">
        <f t="shared" si="4"/>
      </c>
      <c r="F64" s="25">
        <f t="shared" si="1"/>
      </c>
      <c r="G64" s="26">
        <f t="shared" si="2"/>
      </c>
    </row>
    <row r="65" spans="1:7">
      <c r="A65" s="133">
        <f>IFERROR((LOOKUP(MATCH(B65,'00 ACC DETAILS 03'!$E$30:$E$112,0),'00 ACC DETAILS 03'!$A$30:$A$112,'00 ACC DETAILS 03'!$D$30:$D$112)),0)</f>
      </c>
      <c r="B65" t="s" s="30">
        <v>60</v>
      </c>
      <c r="C65" s="28">
        <v>400</v>
      </c>
      <c r="D65" s="23">
        <f t="shared" si="0"/>
      </c>
      <c r="E65" s="29">
        <f t="shared" si="4"/>
      </c>
      <c r="F65" s="25">
        <f t="shared" si="1"/>
      </c>
      <c r="G65" s="26">
        <f t="shared" si="2"/>
      </c>
    </row>
    <row r="66" spans="1:7">
      <c r="A66" s="133">
        <f>IFERROR((LOOKUP(MATCH(B66,'00 ACC DETAILS 03'!$E$30:$E$112,0),'00 ACC DETAILS 03'!$A$30:$A$112,'00 ACC DETAILS 03'!$D$30:$D$112)),0)</f>
      </c>
      <c r="B66" t="s" s="30">
        <v>61</v>
      </c>
      <c r="C66" s="28">
        <v>600</v>
      </c>
      <c r="D66" s="23">
        <f t="shared" si="0"/>
      </c>
      <c r="E66" s="29">
        <f t="shared" si="4"/>
      </c>
      <c r="F66" s="25">
        <f t="shared" si="1"/>
      </c>
      <c r="G66" s="26">
        <f t="shared" si="2"/>
      </c>
    </row>
    <row r="67" spans="1:7">
      <c r="A67" s="133">
        <f>IFERROR((LOOKUP(MATCH(B67,'00 ACC DETAILS 03'!$E$30:$E$112,0),'00 ACC DETAILS 03'!$A$30:$A$112,'00 ACC DETAILS 03'!$D$30:$D$112)),0)</f>
      </c>
      <c r="B67" t="s" s="30">
        <v>62</v>
      </c>
      <c r="C67" s="28">
        <v>450</v>
      </c>
      <c r="D67" s="23">
        <f t="shared" si="0"/>
      </c>
      <c r="E67" s="29">
        <f t="shared" si="4"/>
      </c>
      <c r="F67" s="25">
        <f t="shared" si="1"/>
      </c>
      <c r="G67" s="26">
        <f t="shared" si="2"/>
      </c>
    </row>
    <row r="68" spans="1:7">
      <c r="A68" s="133">
        <f>IFERROR((LOOKUP(MATCH(B68,'00 ACC DETAILS 03'!$E$30:$E$112,0),'00 ACC DETAILS 03'!$A$30:$A$112,'00 ACC DETAILS 03'!$D$30:$D$112)),0)</f>
      </c>
      <c r="B68" t="s" s="30">
        <v>63</v>
      </c>
      <c r="C68" s="28">
        <v>750</v>
      </c>
      <c r="D68" s="23">
        <f t="shared" si="0"/>
      </c>
      <c r="E68" s="29">
        <f t="shared" si="4"/>
      </c>
      <c r="F68" s="25">
        <f t="shared" si="1"/>
      </c>
      <c r="G68" s="26">
        <f t="shared" si="2"/>
      </c>
    </row>
    <row r="69" spans="1:7">
      <c r="A69" s="133">
        <f>IFERROR((LOOKUP(MATCH(B69,'00 ACC DETAILS 03'!$E$30:$E$112,0),'00 ACC DETAILS 03'!$A$30:$A$112,'00 ACC DETAILS 03'!$D$30:$D$112)),0)</f>
      </c>
      <c r="B69" t="s" s="30">
        <v>64</v>
      </c>
      <c r="C69" s="28">
        <f>C67</f>
      </c>
      <c r="D69" s="23">
        <f t="shared" si="0"/>
      </c>
      <c r="E69" s="29">
        <f t="shared" si="4"/>
      </c>
      <c r="F69" s="25">
        <f t="shared" si="1"/>
      </c>
      <c r="G69" s="26">
        <f t="shared" si="2"/>
      </c>
    </row>
    <row r="70" spans="1:7">
      <c r="A70" s="133">
        <f>IFERROR((LOOKUP(MATCH(B70,'00 ACC DETAILS 03'!$E$30:$E$112,0),'00 ACC DETAILS 03'!$A$30:$A$112,'00 ACC DETAILS 03'!$D$30:$D$112)),0)</f>
      </c>
      <c r="B70" t="s" s="30">
        <v>65</v>
      </c>
      <c r="C70" s="28">
        <f>C68</f>
      </c>
      <c r="D70" s="23">
        <f t="shared" si="0"/>
      </c>
      <c r="E70" s="29">
        <f t="shared" si="4"/>
      </c>
      <c r="F70" s="25">
        <f t="shared" si="1"/>
      </c>
      <c r="G70" s="26">
        <f t="shared" si="2"/>
      </c>
    </row>
    <row r="71" spans="1:7">
      <c r="A71" s="133">
        <f>IFERROR((LOOKUP(MATCH(B71,'00 ACC DETAILS 03'!$E$30:$E$112,0),'00 ACC DETAILS 03'!$A$30:$A$112,'00 ACC DETAILS 03'!$D$30:$D$112)),0)</f>
      </c>
      <c r="B71" t="s" s="30">
        <v>66</v>
      </c>
      <c r="C71" s="28">
        <f>C63</f>
      </c>
      <c r="D71" s="23">
        <f t="shared" si="0"/>
      </c>
      <c r="E71" s="29">
        <f t="shared" si="4"/>
      </c>
      <c r="F71" s="25">
        <f t="shared" si="1"/>
      </c>
      <c r="G71" s="26">
        <f t="shared" si="2"/>
      </c>
    </row>
    <row r="72" spans="1:7">
      <c r="A72" s="133">
        <f>IFERROR((LOOKUP(MATCH(B72,'00 ACC DETAILS 03'!$E$30:$E$112,0),'00 ACC DETAILS 03'!$A$30:$A$112,'00 ACC DETAILS 03'!$D$30:$D$112)),0)</f>
      </c>
      <c r="B72" t="s" s="30">
        <v>67</v>
      </c>
      <c r="C72" s="28">
        <f>C62</f>
      </c>
      <c r="D72" s="23">
        <f t="shared" si="0"/>
      </c>
      <c r="E72" s="29">
        <f t="shared" si="4"/>
      </c>
      <c r="F72" s="25">
        <f t="shared" si="1"/>
      </c>
      <c r="G72" s="26">
        <f t="shared" si="2"/>
      </c>
    </row>
    <row r="73" spans="1:7">
      <c r="A73" s="133">
        <f>IFERROR((LOOKUP(MATCH(B73,'00 ACC DETAILS 03'!$E$30:$E$112,0),'00 ACC DETAILS 03'!$A$30:$A$112,'00 ACC DETAILS 03'!$D$30:$D$112)),0)</f>
      </c>
      <c r="B73" t="s" s="30">
        <v>68</v>
      </c>
      <c r="C73" s="28">
        <f t="shared" ref="C73:C85" si="5">C71</f>
      </c>
      <c r="D73" s="23">
        <f t="shared" si="0"/>
      </c>
      <c r="E73" s="29">
        <f t="shared" si="4"/>
      </c>
      <c r="F73" s="25">
        <f t="shared" si="1"/>
      </c>
      <c r="G73" s="26">
        <f t="shared" si="2"/>
      </c>
    </row>
    <row r="74" spans="1:7">
      <c r="A74" s="133">
        <f>IFERROR((LOOKUP(MATCH(B74,'00 ACC DETAILS 03'!$E$30:$E$112,0),'00 ACC DETAILS 03'!$A$30:$A$112,'00 ACC DETAILS 03'!$D$30:$D$112)),0)</f>
      </c>
      <c r="B74" t="s" s="30">
        <v>69</v>
      </c>
      <c r="C74" s="28">
        <f t="shared" si="5"/>
      </c>
      <c r="D74" s="23">
        <f t="shared" si="0"/>
      </c>
      <c r="E74" s="29">
        <f t="shared" si="4"/>
      </c>
      <c r="F74" s="25">
        <f t="shared" si="1"/>
      </c>
      <c r="G74" s="26">
        <f t="shared" si="2"/>
      </c>
    </row>
    <row r="75" spans="1:7">
      <c r="A75" s="133">
        <f>IFERROR((LOOKUP(MATCH(B75,'00 ACC DETAILS 03'!$E$30:$E$112,0),'00 ACC DETAILS 03'!$A$30:$A$112,'00 ACC DETAILS 03'!$D$30:$D$112)),0)</f>
      </c>
      <c r="B75" t="s" s="30">
        <v>70</v>
      </c>
      <c r="C75" s="28">
        <f t="shared" si="5"/>
      </c>
      <c r="D75" s="23">
        <f t="shared" si="0"/>
      </c>
      <c r="E75" s="29">
        <f t="shared" si="4"/>
      </c>
      <c r="F75" s="25">
        <f t="shared" si="1"/>
      </c>
      <c r="G75" s="26">
        <f t="shared" si="2"/>
      </c>
    </row>
    <row r="76" spans="1:7">
      <c r="A76" s="133">
        <f>IFERROR((LOOKUP(MATCH(B76,'00 ACC DETAILS 03'!$E$30:$E$112,0),'00 ACC DETAILS 03'!$A$30:$A$112,'00 ACC DETAILS 03'!$D$30:$D$112)),0)</f>
      </c>
      <c r="B76" t="s" s="30">
        <v>71</v>
      </c>
      <c r="C76" s="28">
        <f t="shared" si="5"/>
      </c>
      <c r="D76" s="23">
        <f t="shared" si="0"/>
      </c>
      <c r="E76" s="29">
        <f t="shared" si="4"/>
      </c>
      <c r="F76" s="25">
        <f t="shared" si="1"/>
      </c>
      <c r="G76" s="26">
        <f t="shared" si="2"/>
      </c>
    </row>
    <row r="77" spans="1:7">
      <c r="A77" s="133">
        <f>IFERROR((LOOKUP(MATCH(B77,'00 ACC DETAILS 03'!$E$30:$E$112,0),'00 ACC DETAILS 03'!$A$30:$A$112,'00 ACC DETAILS 03'!$D$30:$D$112)),0)</f>
      </c>
      <c r="B77" t="s" s="30">
        <v>72</v>
      </c>
      <c r="C77" s="28">
        <f t="shared" si="5"/>
      </c>
      <c r="D77" s="23">
        <f t="shared" si="0"/>
      </c>
      <c r="E77" s="31">
        <f t="shared" si="4"/>
      </c>
      <c r="F77" s="25">
        <f t="shared" si="1"/>
      </c>
      <c r="G77" s="26">
        <f t="shared" si="2"/>
      </c>
    </row>
    <row r="78" spans="1:7">
      <c r="A78" s="133">
        <f>IFERROR((LOOKUP(MATCH(B78,'00 ACC DETAILS 03'!$E$30:$E$112,0),'00 ACC DETAILS 03'!$A$30:$A$112,'00 ACC DETAILS 03'!$D$30:$D$112)),0)</f>
      </c>
      <c r="B78" t="s" s="30">
        <v>73</v>
      </c>
      <c r="C78" s="28">
        <f t="shared" si="5"/>
      </c>
      <c r="D78" s="23">
        <f t="shared" si="0"/>
      </c>
      <c r="E78" s="29">
        <f t="shared" si="4"/>
      </c>
      <c r="F78" s="25">
        <f t="shared" si="1"/>
      </c>
      <c r="G78" s="26">
        <f t="shared" si="2"/>
      </c>
    </row>
    <row r="79" spans="1:7">
      <c r="A79" s="133">
        <f>IFERROR((LOOKUP(MATCH(B79,'00 ACC DETAILS 03'!$E$30:$E$112,0),'00 ACC DETAILS 03'!$A$30:$A$112,'00 ACC DETAILS 03'!$D$30:$D$112)),0)</f>
      </c>
      <c r="B79" t="s" s="30">
        <v>74</v>
      </c>
      <c r="C79" s="28">
        <f>C77</f>
      </c>
      <c r="D79" s="23">
        <f>A79*C79</f>
      </c>
      <c r="E79" s="31">
        <f t="shared" si="4"/>
      </c>
      <c r="F79" s="25">
        <f t="shared" si="1"/>
      </c>
      <c r="G79" s="26">
        <f t="shared" si="2"/>
      </c>
    </row>
    <row r="80" spans="1:7">
      <c r="A80" s="133">
        <f>IFERROR((LOOKUP(MATCH(B80,'00 ACC DETAILS 03'!$E$30:$E$112,0),'00 ACC DETAILS 03'!$A$30:$A$112,'00 ACC DETAILS 03'!$D$30:$D$112)),0)</f>
      </c>
      <c r="B80" t="s" s="30">
        <v>75</v>
      </c>
      <c r="C80" s="28">
        <f t="shared" si="5"/>
      </c>
      <c r="D80" s="23">
        <f t="shared" si="0"/>
      </c>
      <c r="E80" s="31">
        <f t="shared" si="4"/>
      </c>
      <c r="F80" s="25">
        <f t="shared" si="1"/>
      </c>
      <c r="G80" s="26">
        <f t="shared" si="2"/>
      </c>
    </row>
    <row r="81" spans="1:7">
      <c r="A81" s="133">
        <f>IFERROR((LOOKUP(MATCH(B81,'00 ACC DETAILS 03'!$E$30:$E$112,0),'00 ACC DETAILS 03'!$A$30:$A$112,'00 ACC DETAILS 03'!$D$30:$D$112)),0)</f>
      </c>
      <c r="B81" t="s" s="30">
        <v>76</v>
      </c>
      <c r="C81" s="28">
        <f t="shared" si="5"/>
      </c>
      <c r="D81" s="23">
        <f t="shared" si="0"/>
      </c>
      <c r="E81" s="31">
        <f t="shared" si="4"/>
      </c>
      <c r="F81" s="25">
        <f t="shared" si="1"/>
      </c>
      <c r="G81" s="26">
        <f t="shared" si="2"/>
      </c>
    </row>
    <row r="82" spans="1:7">
      <c r="A82" s="133">
        <f>IFERROR((LOOKUP(MATCH(B82,'00 ACC DETAILS 03'!$E$30:$E$112,0),'00 ACC DETAILS 03'!$A$30:$A$112,'00 ACC DETAILS 03'!$D$30:$D$112)),0)</f>
      </c>
      <c r="B82" t="s" s="30">
        <v>77</v>
      </c>
      <c r="C82" s="28">
        <f t="shared" si="5"/>
      </c>
      <c r="D82" s="23">
        <f t="shared" si="0"/>
      </c>
      <c r="E82" s="31">
        <f t="shared" si="4"/>
      </c>
      <c r="F82" s="25">
        <f t="shared" si="1"/>
      </c>
      <c r="G82" s="26">
        <f t="shared" si="2"/>
      </c>
    </row>
    <row r="83" spans="1:7">
      <c r="A83" s="133">
        <f>IFERROR((LOOKUP(MATCH(B83,'00 ACC DETAILS 03'!$E$30:$E$112,0),'00 ACC DETAILS 03'!$A$30:$A$112,'00 ACC DETAILS 03'!$D$30:$D$112)),0)</f>
      </c>
      <c r="B83" t="s" s="32">
        <v>78</v>
      </c>
      <c r="C83" s="33">
        <f t="shared" si="5"/>
      </c>
      <c r="D83" s="23">
        <f t="shared" ref="D83:D101" si="6">A83*C83</f>
      </c>
      <c r="E83" s="31">
        <f t="shared" si="4"/>
      </c>
      <c r="F83" s="25">
        <f t="shared" ref="F83:F101" si="7">D83*E83/100</f>
      </c>
      <c r="G83" s="26">
        <f t="shared" ref="G83:G101" si="8">D83+F83</f>
      </c>
    </row>
    <row r="84" spans="1:7">
      <c r="A84" s="133">
        <f>IFERROR((LOOKUP(MATCH(B84,'00 ACC DETAILS 03'!$E$30:$E$112,0),'00 ACC DETAILS 03'!$A$30:$A$112,'00 ACC DETAILS 03'!$D$30:$D$112)),0)</f>
      </c>
      <c r="B84" t="s" s="34">
        <v>79</v>
      </c>
      <c r="C84" s="35">
        <f t="shared" si="5"/>
      </c>
      <c r="D84" s="23">
        <f t="shared" si="6"/>
      </c>
      <c r="E84" s="31">
        <f t="shared" si="4"/>
      </c>
      <c r="F84" s="25">
        <f t="shared" si="7"/>
      </c>
      <c r="G84" s="26">
        <f t="shared" si="8"/>
      </c>
    </row>
    <row r="85" spans="1:7">
      <c r="A85" s="133">
        <f>IFERROR((LOOKUP(MATCH(B85,'00 ACC DETAILS 03'!$E$30:$E$112,0),'00 ACC DETAILS 03'!$A$30:$A$112,'00 ACC DETAILS 03'!$D$30:$D$112)),0)</f>
      </c>
      <c r="B85" t="s" s="34">
        <v>80</v>
      </c>
      <c r="C85" s="35">
        <f t="shared" si="5"/>
      </c>
      <c r="D85" s="23">
        <f t="shared" si="6"/>
      </c>
      <c r="E85" s="31">
        <f t="shared" si="4"/>
      </c>
      <c r="F85" s="25">
        <f t="shared" si="7"/>
      </c>
      <c r="G85" s="26">
        <f t="shared" si="8"/>
      </c>
    </row>
    <row r="86" spans="1:7">
      <c r="A86" s="133">
        <f>IFERROR((LOOKUP(MATCH(B86,'00 ACC DETAILS 03'!$E$30:$E$112,0),'00 ACC DETAILS 03'!$A$30:$A$112,'00 ACC DETAILS 03'!$D$30:$D$112)),0)</f>
      </c>
      <c r="B86" t="s" s="34">
        <v>81</v>
      </c>
      <c r="C86" s="35">
        <v>2250</v>
      </c>
      <c r="D86" s="23">
        <f t="shared" si="6"/>
      </c>
      <c r="E86" s="31">
        <f t="shared" si="4"/>
      </c>
      <c r="F86" s="25">
        <f t="shared" si="7"/>
      </c>
      <c r="G86" s="26">
        <f t="shared" si="8"/>
      </c>
    </row>
    <row r="87" spans="1:7">
      <c r="A87" s="133">
        <f>IFERROR((LOOKUP(MATCH(B87,'00 ACC DETAILS 03'!$E$30:$E$112,0),'00 ACC DETAILS 03'!$A$30:$A$112,'00 ACC DETAILS 03'!$D$30:$D$112)),0)</f>
      </c>
      <c r="B87" t="s" s="34">
        <v>82</v>
      </c>
      <c r="C87" s="35">
        <f>C85</f>
      </c>
      <c r="D87" s="23">
        <f t="shared" si="6"/>
      </c>
      <c r="E87" s="31">
        <f t="shared" si="4"/>
      </c>
      <c r="F87" s="25">
        <f t="shared" si="7"/>
      </c>
      <c r="G87" s="26">
        <f t="shared" si="8"/>
      </c>
    </row>
    <row r="88" spans="1:7">
      <c r="A88" s="133">
        <f>IFERROR((LOOKUP(MATCH(B88,'00 ACC DETAILS 03'!$E$30:$E$112,0),'00 ACC DETAILS 03'!$A$30:$A$112,'00 ACC DETAILS 03'!$D$30:$D$112)),0)</f>
      </c>
      <c r="B88" t="s" s="34">
        <v>83</v>
      </c>
      <c r="C88" s="35">
        <f>C86</f>
      </c>
      <c r="D88" s="23">
        <f t="shared" si="6"/>
      </c>
      <c r="E88" s="31">
        <f t="shared" si="4"/>
      </c>
      <c r="F88" s="25">
        <f t="shared" si="7"/>
      </c>
      <c r="G88" s="26">
        <f t="shared" si="8"/>
      </c>
    </row>
    <row r="89" spans="1:7">
      <c r="A89" s="133">
        <f>IFERROR((LOOKUP(MATCH(B89,'00 ACC DETAILS 03'!$E$30:$E$112,0),'00 ACC DETAILS 03'!$A$30:$A$112,'00 ACC DETAILS 03'!$D$30:$D$112)),0)</f>
      </c>
      <c r="B89" t="s" s="36">
        <v>84</v>
      </c>
      <c r="C89" s="37">
        <f>C87</f>
      </c>
      <c r="D89" s="23">
        <f t="shared" si="6"/>
      </c>
      <c r="E89" s="31">
        <f t="shared" ref="E89:E100" si="9">E90+6</f>
      </c>
      <c r="F89" s="25">
        <f t="shared" si="7"/>
      </c>
      <c r="G89" s="26">
        <f t="shared" si="8"/>
      </c>
    </row>
    <row r="90" spans="1:7">
      <c r="A90" s="133">
        <f>IFERROR((LOOKUP(MATCH(B90,'00 ACC DETAILS 03'!$E$30:$E$112,0),'00 ACC DETAILS 03'!$A$30:$A$112,'00 ACC DETAILS 03'!$D$30:$D$112)),0)</f>
      </c>
      <c r="B90" t="s" s="34">
        <v>85</v>
      </c>
      <c r="C90" s="35">
        <f>C88</f>
      </c>
      <c r="D90" s="23">
        <f t="shared" si="6"/>
      </c>
      <c r="E90" s="31">
        <f t="shared" si="9"/>
      </c>
      <c r="F90" s="25">
        <f t="shared" si="7"/>
      </c>
      <c r="G90" s="26">
        <f t="shared" si="8"/>
      </c>
    </row>
    <row r="91" spans="1:7">
      <c r="A91" s="133">
        <f>IFERROR((LOOKUP(MATCH(B91,'00 ACC DETAILS 03'!$E$30:$E$112,0),'00 ACC DETAILS 03'!$A$30:$A$112,'00 ACC DETAILS 03'!$D$30:$D$112)),0)</f>
      </c>
      <c r="B91" t="s" s="34">
        <v>86</v>
      </c>
      <c r="C91" s="35">
        <f>C89</f>
      </c>
      <c r="D91" s="23">
        <f t="shared" si="6"/>
      </c>
      <c r="E91" s="31">
        <f t="shared" si="9"/>
      </c>
      <c r="F91" s="25">
        <f t="shared" si="7"/>
      </c>
      <c r="G91" s="26">
        <f t="shared" si="8"/>
      </c>
    </row>
    <row r="92" spans="1:7">
      <c r="A92" s="133">
        <f>IFERROR((LOOKUP(MATCH(B92,'00 ACC DETAILS 03'!$E$30:$E$112,0),'00 ACC DETAILS 03'!$A$30:$A$112,'00 ACC DETAILS 03'!$D$30:$D$112)),0)</f>
      </c>
      <c r="B92" t="s" s="34">
        <v>87</v>
      </c>
      <c r="C92" s="35">
        <v>2550</v>
      </c>
      <c r="D92" s="23">
        <f t="shared" si="6"/>
      </c>
      <c r="E92" s="31">
        <f t="shared" si="9"/>
      </c>
      <c r="F92" s="25">
        <f t="shared" si="7"/>
      </c>
      <c r="G92" s="26">
        <f t="shared" si="8"/>
      </c>
    </row>
    <row r="93" spans="1:7">
      <c r="A93" s="133">
        <f>IFERROR((LOOKUP(MATCH(B93,'00 ACC DETAILS 03'!$E$30:$E$112,0),'00 ACC DETAILS 03'!$A$30:$A$112,'00 ACC DETAILS 03'!$D$30:$D$112)),0)</f>
      </c>
      <c r="B93" t="s" s="36">
        <v>88</v>
      </c>
      <c r="C93" s="37">
        <v>1700</v>
      </c>
      <c r="D93" s="23">
        <f t="shared" si="6"/>
      </c>
      <c r="E93" s="31">
        <f t="shared" si="9"/>
      </c>
      <c r="F93" s="25">
        <f t="shared" si="7"/>
      </c>
      <c r="G93" s="26">
        <f t="shared" si="8"/>
      </c>
    </row>
    <row r="94" spans="1:7">
      <c r="A94" s="133">
        <f>IFERROR((LOOKUP(MATCH(B94,'00 ACC DETAILS 03'!$E$30:$E$112,0),'00 ACC DETAILS 03'!$A$30:$A$112,'00 ACC DETAILS 03'!$D$30:$D$112)),0)</f>
      </c>
      <c r="B94" t="s" s="34">
        <v>89</v>
      </c>
      <c r="C94" s="35">
        <f>17*150</f>
      </c>
      <c r="D94" s="23">
        <f t="shared" si="6"/>
      </c>
      <c r="E94" s="31">
        <f t="shared" si="9"/>
      </c>
      <c r="F94" s="25">
        <f t="shared" si="7"/>
      </c>
      <c r="G94" s="26">
        <f t="shared" si="8"/>
      </c>
    </row>
    <row r="95" spans="1:7">
      <c r="A95" s="133">
        <f>IFERROR((LOOKUP(MATCH(B95,'00 ACC DETAILS 03'!$E$30:$E$112,0),'00 ACC DETAILS 03'!$A$30:$A$112,'00 ACC DETAILS 03'!$D$30:$D$112)),0)</f>
      </c>
      <c r="B95" t="s" s="34">
        <v>90</v>
      </c>
      <c r="C95" s="35">
        <f>17*100</f>
      </c>
      <c r="D95" s="23">
        <f t="shared" si="6"/>
      </c>
      <c r="E95" s="31">
        <f t="shared" si="9"/>
      </c>
      <c r="F95" s="25">
        <f t="shared" si="7"/>
      </c>
      <c r="G95" s="26">
        <f t="shared" si="8"/>
      </c>
    </row>
    <row r="96" spans="1:7">
      <c r="A96" s="133">
        <f>IFERROR((LOOKUP(MATCH(B96,'00 ACC DETAILS 03'!$E$30:$E$112,0),'00 ACC DETAILS 03'!$A$30:$A$112,'00 ACC DETAILS 03'!$D$30:$D$112)),0)</f>
      </c>
      <c r="B96" t="s" s="34">
        <v>91</v>
      </c>
      <c r="C96" s="35">
        <f>C94</f>
      </c>
      <c r="D96" s="23">
        <f t="shared" si="6"/>
      </c>
      <c r="E96" s="31">
        <f t="shared" si="9"/>
      </c>
      <c r="F96" s="25">
        <f t="shared" si="7"/>
      </c>
      <c r="G96" s="26">
        <f t="shared" si="8"/>
      </c>
    </row>
    <row r="97" spans="1:7">
      <c r="A97" s="133">
        <f>IFERROR((LOOKUP(MATCH(B97,'00 ACC DETAILS 03'!$E$30:$E$112,0),'00 ACC DETAILS 03'!$A$30:$A$112,'00 ACC DETAILS 03'!$D$30:$D$112)),0)</f>
      </c>
      <c r="B97" t="s" s="34">
        <v>92</v>
      </c>
      <c r="C97" s="35">
        <f>17*100</f>
      </c>
      <c r="D97" s="23">
        <f t="shared" si="6"/>
      </c>
      <c r="E97" s="31">
        <f t="shared" si="9"/>
      </c>
      <c r="F97" s="25">
        <f t="shared" si="7"/>
      </c>
      <c r="G97" s="26">
        <f t="shared" si="8"/>
      </c>
    </row>
    <row r="98" spans="1:7">
      <c r="A98" s="133">
        <f>IFERROR((LOOKUP(MATCH(B98,'00 ACC DETAILS 03'!$E$30:$E$112,0),'00 ACC DETAILS 03'!$A$30:$A$112,'00 ACC DETAILS 03'!$D$30:$D$112)),0)</f>
      </c>
      <c r="B98" t="s" s="34">
        <v>93</v>
      </c>
      <c r="C98" s="35">
        <f>C96</f>
      </c>
      <c r="D98" s="23">
        <f t="shared" si="6"/>
      </c>
      <c r="E98" s="31">
        <f t="shared" si="9"/>
      </c>
      <c r="F98" s="25">
        <f t="shared" si="7"/>
      </c>
      <c r="G98" s="26">
        <f t="shared" si="8"/>
      </c>
    </row>
    <row r="99" spans="1:7">
      <c r="A99" s="133">
        <f>IFERROR((LOOKUP(MATCH(B99,'00 ACC DETAILS 03'!$E$30:$E$112,0),'00 ACC DETAILS 03'!$A$30:$A$112,'00 ACC DETAILS 03'!$D$30:$D$112)),0)</f>
      </c>
      <c r="B99" t="s" s="34">
        <v>94</v>
      </c>
      <c r="C99" s="35">
        <f>17*100</f>
      </c>
      <c r="D99" s="23">
        <f t="shared" si="6"/>
      </c>
      <c r="E99" s="31">
        <f t="shared" si="9"/>
      </c>
      <c r="F99" s="25">
        <f t="shared" si="7"/>
      </c>
      <c r="G99" s="38">
        <f t="shared" si="8"/>
      </c>
    </row>
    <row r="100" spans="1:7">
      <c r="A100" s="133">
        <f>IFERROR((LOOKUP(MATCH(B100,'00 ACC DETAILS 03'!$E$30:$E$112,0),'00 ACC DETAILS 03'!$A$30:$A$112,'00 ACC DETAILS 03'!$D$30:$D$112)),0)</f>
      </c>
      <c r="B100" t="s" s="34">
        <v>95</v>
      </c>
      <c r="C100" s="35">
        <f>C98</f>
      </c>
      <c r="D100" s="23">
        <f t="shared" si="6"/>
      </c>
      <c r="E100" s="31">
        <f t="shared" si="9"/>
      </c>
      <c r="F100" s="39">
        <f t="shared" si="7"/>
      </c>
      <c r="G100" s="40">
        <f t="shared" si="8"/>
      </c>
    </row>
    <row r="101" spans="1:7">
      <c r="A101" s="133">
        <f>IFERROR((LOOKUP(MATCH(B101,'00 ACC DETAILS 03'!$E$30:$E$112,0),'00 ACC DETAILS 03'!$A$30:$A$112,'00 ACC DETAILS 03'!$D$30:$D$112)),0)</f>
      </c>
      <c r="B101" t="s" s="34">
        <v>96</v>
      </c>
      <c r="C101" s="35">
        <f>17*100</f>
      </c>
      <c r="D101" s="23">
        <f t="shared" si="6"/>
      </c>
      <c r="E101" s="31">
        <v>11</v>
      </c>
      <c r="F101" s="39">
        <f t="shared" si="7"/>
      </c>
      <c r="G101" s="40">
        <f t="shared" si="8"/>
      </c>
    </row>
    <row r="102" spans="1:7" ht="18">
      <c r="A102" t="s" s="213">
        <v>97</v>
      </c>
      <c r="B102" s="213"/>
      <c r="C102" s="213"/>
      <c r="D102" s="41">
        <f>SUM(D19:D101)</f>
      </c>
      <c r="E102" s="42"/>
      <c r="F102" s="41">
        <f>SUM(F19:F101)</f>
      </c>
      <c r="G102" s="42">
        <f>SUM(G19:G101)</f>
      </c>
    </row>
    <row r="103" spans="1:7">
      <c r="A103" t="s" s="43">
        <v>98</v>
      </c>
      <c r="B103" s="44"/>
      <c r="C103" s="44"/>
      <c r="D103" s="214"/>
      <c r="E103" s="214"/>
      <c r="F103" s="215"/>
      <c r="G103" s="40">
        <v>0</v>
      </c>
    </row>
    <row r="104" spans="1:7" ht="20">
      <c r="A104" t="s" s="216">
        <v>99</v>
      </c>
      <c r="B104" s="216"/>
      <c r="C104" s="216"/>
      <c r="D104" s="216"/>
      <c r="E104" s="216"/>
      <c r="F104" s="217"/>
      <c r="G104" s="45">
        <f>G102+G103</f>
      </c>
    </row>
    <row r="105" spans="1:7">
      <c r="A105" t="s" s="46">
        <v>100</v>
      </c>
      <c r="B105" s="4"/>
      <c r="C105" s="4"/>
      <c r="D105" s="47"/>
      <c r="E105" s="48"/>
      <c r="F105" s="49"/>
      <c r="G105" s="50"/>
    </row>
    <row r="106" spans="1:7">
      <c r="A106" s="4"/>
      <c r="B106" s="4"/>
      <c r="C106" s="4"/>
      <c r="D106" s="47"/>
      <c r="E106" s="48"/>
      <c r="F106" s="49"/>
      <c r="G106" s="50"/>
    </row>
    <row r="107" spans="1:7">
      <c r="A107" t="s" s="4">
        <v>101</v>
      </c>
      <c r="B107" s="4"/>
      <c r="C107" t="s" s="4">
        <v>102</v>
      </c>
      <c r="D107" t="s" s="4">
        <v>103</v>
      </c>
      <c r="E107" s="4"/>
      <c r="F107" s="4"/>
      <c r="G107" t="s" s="4">
        <v>104</v>
      </c>
    </row>
    <row r="108" spans="1:7">
      <c r="A108" s="4"/>
      <c r="B108" s="4"/>
      <c r="C108" s="4"/>
      <c r="D108" s="4"/>
      <c r="E108" s="4"/>
      <c r="F108" s="4"/>
      <c r="G108" s="7"/>
    </row>
    <row r="109" spans="1:7">
      <c r="A109" t="s" s="218">
        <v>105</v>
      </c>
      <c r="B109" s="219"/>
      <c r="C109" t="s" s="218">
        <v>106</v>
      </c>
      <c r="D109" s="219"/>
      <c r="E109" t="s" s="218">
        <v>107</v>
      </c>
      <c r="F109" s="218"/>
      <c r="G109" t="s" s="51">
        <v>108</v>
      </c>
    </row>
    <row r="110" spans="1:7">
      <c r="A110" t="s" s="207">
        <v>109</v>
      </c>
      <c r="B110" s="208"/>
      <c r="C110" t="s" s="208">
        <v>110</v>
      </c>
      <c r="D110" s="208"/>
      <c r="E110" t="s" s="208">
        <v>111</v>
      </c>
      <c r="F110" s="208"/>
      <c r="G110" t="s" s="7">
        <v>112</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t="s" s="221">
        <v>113</v>
      </c>
      <c r="B119" s="221"/>
      <c r="C119" s="221"/>
      <c r="D119" s="221"/>
      <c r="E119" s="221"/>
      <c r="F119" s="221"/>
      <c r="G119" s="221"/>
    </row>
    <row r="120" spans="1:7" ht="23">
      <c r="A120" t="s" s="222">
        <v>114</v>
      </c>
      <c r="B120" s="222"/>
      <c r="C120" s="222"/>
      <c r="D120" s="222"/>
      <c r="E120" s="222"/>
      <c r="F120" s="222"/>
      <c r="G120" s="222"/>
    </row>
    <row r="121" spans="1:7">
      <c r="A121" t="s" s="223">
        <v>289</v>
      </c>
      <c r="B121" s="223"/>
      <c r="C121" s="223"/>
      <c r="D121" s="223"/>
      <c r="E121" s="223"/>
      <c r="F121" s="223"/>
      <c r="G121" s="223"/>
    </row>
    <row r="122" spans="1:7" ht="16">
      <c r="A122" t="s" s="224">
        <v>115</v>
      </c>
      <c r="B122" s="224"/>
      <c r="C122" s="224"/>
      <c r="D122" s="224"/>
      <c r="E122" s="224"/>
      <c r="F122" s="224"/>
      <c r="G122" s="224"/>
    </row>
    <row r="123" spans="1:7">
      <c r="A123" t="s" s="225">
        <v>116</v>
      </c>
      <c r="B123" s="225"/>
      <c r="C123" s="225"/>
      <c r="D123" s="225"/>
      <c r="E123" s="225"/>
      <c r="F123" s="225"/>
      <c r="G123" s="225"/>
    </row>
    <row r="124" spans="1:7">
      <c r="A124" s="1"/>
      <c r="B124" s="2"/>
      <c r="C124" s="2"/>
      <c r="D124" s="2"/>
      <c r="E124" s="2"/>
      <c r="F124" s="2"/>
      <c r="G124" s="2"/>
    </row>
    <row r="125" spans="1:7">
      <c r="A125" t="s" s="3">
        <v>117</v>
      </c>
      <c r="B125" s="3"/>
      <c r="C125" s="3"/>
      <c r="D125" s="3"/>
      <c r="E125" s="3"/>
      <c r="F125" s="4"/>
      <c r="G125" t="s" s="5">
        <v>118</v>
      </c>
    </row>
    <row r="126" spans="1:7">
      <c r="A126" t="s" s="3">
        <v>119</v>
      </c>
      <c r="B126" s="3"/>
      <c r="C126" s="3"/>
      <c r="D126" s="3"/>
      <c r="E126" s="3"/>
      <c r="F126" s="4"/>
      <c r="G126" t="s" s="5">
        <v>120</v>
      </c>
    </row>
    <row r="127" spans="1:7">
      <c r="A127" t="s" s="3">
        <v>121</v>
      </c>
      <c r="B127" s="3"/>
      <c r="C127" s="3"/>
      <c r="D127" s="3"/>
      <c r="E127" s="3"/>
      <c r="F127" s="3"/>
      <c r="G127" s="3"/>
    </row>
    <row r="128" spans="1:7">
      <c r="A128" s="3"/>
      <c r="B128" s="3"/>
      <c r="C128" s="3"/>
      <c r="D128" s="3"/>
      <c r="E128" s="3"/>
      <c r="F128" s="3"/>
      <c r="G128" s="3"/>
    </row>
    <row r="129" spans="1:7" ht="20">
      <c r="A129" t="s" s="202">
        <v>0</v>
      </c>
      <c r="B129" s="202"/>
      <c r="C129" s="202"/>
      <c r="D129" s="202"/>
      <c r="E129" s="202"/>
      <c r="F129" s="202"/>
      <c r="G129" s="202"/>
    </row>
    <row r="130" spans="1:7">
      <c r="A130" s="208">
        <f ca="1">A12</f>
      </c>
      <c r="B130" s="208"/>
      <c r="C130" s="208"/>
      <c r="D130" s="208"/>
      <c r="E130" s="208"/>
      <c r="F130" s="208"/>
      <c r="G130" s="208"/>
    </row>
    <row r="131" spans="1:7">
      <c r="A131" s="210"/>
      <c r="B131" s="210"/>
      <c r="C131" s="6"/>
      <c r="D131" s="7"/>
      <c r="E131" s="4"/>
      <c r="F131" s="7"/>
      <c r="G131" s="7"/>
    </row>
    <row r="132" spans="1:7" ht="20">
      <c r="A132" t="s" s="226">
        <v>1</v>
      </c>
      <c r="B132" s="226"/>
      <c r="C132" s="53">
        <f>C14</f>
      </c>
      <c r="D132" s="4"/>
      <c r="E132" s="4"/>
      <c r="F132" t="s" s="54">
        <v>2</v>
      </c>
      <c r="G132" s="55">
        <f>G14</f>
      </c>
    </row>
    <row r="133" spans="1:7" ht="20">
      <c r="A133" t="s" s="4">
        <v>3</v>
      </c>
      <c r="B133" s="56"/>
      <c r="C133" s="53">
        <f>C15</f>
      </c>
      <c r="D133" s="4"/>
      <c r="E133" s="4"/>
      <c r="F133" t="s" s="54">
        <v>4</v>
      </c>
      <c r="G133" s="57">
        <f>G15</f>
      </c>
    </row>
    <row r="134" spans="1:7" ht="16">
      <c r="A134" t="s" s="4">
        <v>5</v>
      </c>
      <c r="B134" s="58"/>
      <c r="C134" s="227"/>
      <c r="D134" s="227"/>
      <c r="E134" t="s" s="4">
        <v>6</v>
      </c>
      <c r="F134" s="228"/>
      <c r="G134" s="228"/>
    </row>
    <row r="135" spans="1:7" ht="17" thickBot="1">
      <c r="A135" t="s" s="4">
        <v>290</v>
      </c>
      <c r="B135" s="4"/>
      <c r="C135" s="58">
        <f>C17</f>
      </c>
      <c r="D135" s="59"/>
      <c r="E135" t="s" s="4">
        <v>6</v>
      </c>
      <c r="F135" s="220"/>
      <c r="G135" s="220"/>
    </row>
    <row r="136" spans="1:7" ht="16" thickBot="1">
      <c r="A136" t="s" s="20">
        <v>7</v>
      </c>
      <c r="B136" t="s" s="20">
        <v>8</v>
      </c>
      <c r="C136" t="s" s="20">
        <v>9</v>
      </c>
      <c r="D136" t="s" s="20">
        <v>10</v>
      </c>
      <c r="E136" t="s" s="21">
        <v>11</v>
      </c>
      <c r="F136" t="s" s="20">
        <v>12</v>
      </c>
      <c r="G136" t="s" s="20">
        <v>13</v>
      </c>
    </row>
    <row r="137" spans="1:7" ht="16">
      <c r="A137" s="60">
        <f t="shared" ref="A137:A200" si="10">A19</f>
      </c>
      <c r="B137" t="s" s="61">
        <v>14</v>
      </c>
      <c r="C137" s="35">
        <f>1.1*100</f>
      </c>
      <c r="D137" s="23">
        <f t="shared" ref="D137:D200" si="11">A137*C137</f>
      </c>
      <c r="E137" s="24"/>
      <c r="F137" s="25">
        <f t="shared" ref="F137:F200" si="12">D137*E137/100</f>
      </c>
      <c r="G137" s="26">
        <f t="shared" ref="G137:G200" si="13">D137+F137</f>
      </c>
    </row>
    <row r="138" spans="1:7" ht="16">
      <c r="A138" s="62">
        <f t="shared" si="10"/>
      </c>
      <c r="B138" t="s" s="30">
        <v>15</v>
      </c>
      <c r="C138" s="35">
        <f>1.1*150</f>
      </c>
      <c r="D138" s="28">
        <f t="shared" si="11"/>
      </c>
      <c r="E138" s="29"/>
      <c r="F138" s="63">
        <f t="shared" si="12"/>
      </c>
      <c r="G138" s="64">
        <f t="shared" si="13"/>
      </c>
    </row>
    <row r="139" spans="1:7" ht="16">
      <c r="A139" s="62">
        <f t="shared" si="10"/>
      </c>
      <c r="B139" t="s" s="30">
        <v>16</v>
      </c>
      <c r="C139" s="35">
        <f>1.1*100</f>
      </c>
      <c r="D139" s="28">
        <f t="shared" si="11"/>
      </c>
      <c r="E139" s="29"/>
      <c r="F139" s="63">
        <f t="shared" si="12"/>
      </c>
      <c r="G139" s="64">
        <f t="shared" si="13"/>
      </c>
    </row>
    <row r="140" spans="1:7" ht="16">
      <c r="A140" s="62">
        <f t="shared" si="10"/>
      </c>
      <c r="B140" t="s" s="30">
        <v>17</v>
      </c>
      <c r="C140" s="35">
        <f>1.1*150</f>
      </c>
      <c r="D140" s="28">
        <f t="shared" si="11"/>
      </c>
      <c r="E140" s="29"/>
      <c r="F140" s="63">
        <f t="shared" si="12"/>
      </c>
      <c r="G140" s="64">
        <f t="shared" si="13"/>
      </c>
    </row>
    <row r="141" spans="1:7" ht="16">
      <c r="A141" s="62">
        <f t="shared" si="10"/>
      </c>
      <c r="B141" t="s" s="30">
        <v>18</v>
      </c>
      <c r="C141" s="35">
        <f>1.1*100</f>
      </c>
      <c r="D141" s="28">
        <f t="shared" si="11"/>
      </c>
      <c r="E141" s="29"/>
      <c r="F141" s="63">
        <f t="shared" si="12"/>
      </c>
      <c r="G141" s="64">
        <f t="shared" si="13"/>
      </c>
    </row>
    <row r="142" spans="1:7" ht="16">
      <c r="A142" s="62">
        <f t="shared" si="10"/>
      </c>
      <c r="B142" t="s" s="30">
        <v>19</v>
      </c>
      <c r="C142" s="35">
        <f>1.1*150</f>
      </c>
      <c r="D142" s="28">
        <f t="shared" si="11"/>
      </c>
      <c r="E142" s="29"/>
      <c r="F142" s="63">
        <f t="shared" si="12"/>
      </c>
      <c r="G142" s="64">
        <f t="shared" si="13"/>
      </c>
    </row>
    <row r="143" spans="1:7" ht="16">
      <c r="A143" s="62">
        <f t="shared" si="10"/>
      </c>
      <c r="B143" t="s" s="30">
        <v>20</v>
      </c>
      <c r="C143" s="35">
        <f>1.1*100</f>
      </c>
      <c r="D143" s="28">
        <f t="shared" si="11"/>
      </c>
      <c r="E143" s="29"/>
      <c r="F143" s="63">
        <f t="shared" si="12"/>
      </c>
      <c r="G143" s="64">
        <f t="shared" si="13"/>
      </c>
    </row>
    <row r="144" spans="1:7" ht="16">
      <c r="A144" s="62">
        <f t="shared" si="10"/>
      </c>
      <c r="B144" t="s" s="30">
        <v>21</v>
      </c>
      <c r="C144" s="35">
        <f>1.1*150</f>
      </c>
      <c r="D144" s="28">
        <f t="shared" si="11"/>
      </c>
      <c r="E144" s="29"/>
      <c r="F144" s="63">
        <f t="shared" si="12"/>
      </c>
      <c r="G144" s="64">
        <f t="shared" si="13"/>
      </c>
    </row>
    <row r="145" spans="1:7" ht="16">
      <c r="A145" s="62">
        <f t="shared" si="10"/>
      </c>
      <c r="B145" t="s" s="30">
        <v>22</v>
      </c>
      <c r="C145" s="35">
        <f>1.3*100</f>
      </c>
      <c r="D145" s="28">
        <f t="shared" si="11"/>
      </c>
      <c r="E145" s="29"/>
      <c r="F145" s="63">
        <f t="shared" si="12"/>
      </c>
      <c r="G145" s="64">
        <f t="shared" si="13"/>
      </c>
    </row>
    <row r="146" spans="1:7" ht="16">
      <c r="A146" s="62">
        <f t="shared" si="10"/>
      </c>
      <c r="B146" t="s" s="30">
        <v>23</v>
      </c>
      <c r="C146" s="35">
        <f>1.3*150</f>
      </c>
      <c r="D146" s="28">
        <f t="shared" si="11"/>
      </c>
      <c r="E146" s="29"/>
      <c r="F146" s="63">
        <f t="shared" si="12"/>
      </c>
      <c r="G146" s="64">
        <f t="shared" si="13"/>
      </c>
    </row>
    <row r="147" spans="1:7" ht="16">
      <c r="A147" s="62">
        <f t="shared" si="10"/>
      </c>
      <c r="B147" t="s" s="30">
        <v>24</v>
      </c>
      <c r="C147" s="35">
        <f>1.3*100</f>
      </c>
      <c r="D147" s="28">
        <f t="shared" si="11"/>
      </c>
      <c r="E147" s="29"/>
      <c r="F147" s="63">
        <f t="shared" si="12"/>
      </c>
      <c r="G147" s="64">
        <f t="shared" si="13"/>
      </c>
    </row>
    <row r="148" spans="1:7" ht="16">
      <c r="A148" s="62">
        <f t="shared" si="10"/>
      </c>
      <c r="B148" t="s" s="30">
        <v>25</v>
      </c>
      <c r="C148" s="35">
        <f>1.4*150</f>
      </c>
      <c r="D148" s="28">
        <f t="shared" si="11"/>
      </c>
      <c r="E148" s="29"/>
      <c r="F148" s="63">
        <f t="shared" si="12"/>
      </c>
      <c r="G148" s="64">
        <f t="shared" si="13"/>
      </c>
    </row>
    <row r="149" spans="1:7" ht="16">
      <c r="A149" s="62">
        <f t="shared" si="10"/>
      </c>
      <c r="B149" t="s" s="30">
        <v>26</v>
      </c>
      <c r="C149" s="35">
        <f>1.45*100</f>
      </c>
      <c r="D149" s="28">
        <f t="shared" si="11"/>
      </c>
      <c r="E149" s="29"/>
      <c r="F149" s="63">
        <f t="shared" si="12"/>
      </c>
      <c r="G149" s="64">
        <f t="shared" si="13"/>
      </c>
    </row>
    <row r="150" spans="1:7" ht="16">
      <c r="A150" s="62">
        <f t="shared" si="10"/>
      </c>
      <c r="B150" t="s" s="30">
        <v>27</v>
      </c>
      <c r="C150" s="35">
        <f>1.55*150</f>
      </c>
      <c r="D150" s="28">
        <f t="shared" si="11"/>
      </c>
      <c r="E150" s="29"/>
      <c r="F150" s="63">
        <f t="shared" si="12"/>
      </c>
      <c r="G150" s="64">
        <f t="shared" si="13"/>
      </c>
    </row>
    <row r="151" spans="1:7" ht="16">
      <c r="A151" s="62">
        <f t="shared" si="10"/>
      </c>
      <c r="B151" t="s" s="30">
        <v>28</v>
      </c>
      <c r="C151" s="35">
        <f>1.55*100</f>
      </c>
      <c r="D151" s="28">
        <f t="shared" si="11"/>
      </c>
      <c r="E151" s="29"/>
      <c r="F151" s="63">
        <f t="shared" si="12"/>
      </c>
      <c r="G151" s="64">
        <f t="shared" si="13"/>
      </c>
    </row>
    <row r="152" spans="1:7" ht="16">
      <c r="A152" s="62">
        <f t="shared" si="10"/>
      </c>
      <c r="B152" t="s" s="30">
        <v>29</v>
      </c>
      <c r="C152" s="35">
        <f>1.7*150</f>
      </c>
      <c r="D152" s="28">
        <f t="shared" si="11"/>
      </c>
      <c r="E152" s="29"/>
      <c r="F152" s="63">
        <f t="shared" si="12"/>
      </c>
      <c r="G152" s="64">
        <f t="shared" si="13"/>
      </c>
    </row>
    <row r="153" spans="1:7" ht="16">
      <c r="A153" s="62">
        <f t="shared" si="10"/>
      </c>
      <c r="B153" t="s" s="30">
        <v>30</v>
      </c>
      <c r="C153" s="35">
        <f>1.7*100</f>
      </c>
      <c r="D153" s="28">
        <f t="shared" si="11"/>
      </c>
      <c r="E153" s="29"/>
      <c r="F153" s="63">
        <f t="shared" si="12"/>
      </c>
      <c r="G153" s="64">
        <f t="shared" si="13"/>
      </c>
    </row>
    <row r="154" spans="1:7" ht="16">
      <c r="A154" s="62">
        <f t="shared" si="10"/>
      </c>
      <c r="B154" t="s" s="30">
        <v>31</v>
      </c>
      <c r="C154" s="35">
        <f>2.1*150</f>
      </c>
      <c r="D154" s="28">
        <f t="shared" si="11"/>
      </c>
      <c r="E154" s="29"/>
      <c r="F154" s="63">
        <f t="shared" si="12"/>
      </c>
      <c r="G154" s="64">
        <f t="shared" si="13"/>
      </c>
    </row>
    <row r="155" spans="1:7" ht="16">
      <c r="A155" s="62">
        <f t="shared" si="10"/>
      </c>
      <c r="B155" t="s" s="30">
        <v>32</v>
      </c>
      <c r="C155" s="35">
        <f>2.65*100</f>
      </c>
      <c r="D155" s="28">
        <f t="shared" si="11"/>
      </c>
      <c r="E155" s="29"/>
      <c r="F155" s="63">
        <f t="shared" si="12"/>
      </c>
      <c r="G155" s="64">
        <f t="shared" si="13"/>
      </c>
    </row>
    <row r="156" spans="1:7" ht="16">
      <c r="A156" s="62">
        <f t="shared" si="10"/>
      </c>
      <c r="B156" t="s" s="30">
        <v>33</v>
      </c>
      <c r="C156" s="35">
        <f>3.5*150</f>
      </c>
      <c r="D156" s="28">
        <f t="shared" si="11"/>
      </c>
      <c r="E156" s="29"/>
      <c r="F156" s="63">
        <f t="shared" si="12"/>
      </c>
      <c r="G156" s="64">
        <f t="shared" si="13"/>
      </c>
    </row>
    <row r="157" spans="1:7" ht="16">
      <c r="A157" s="62">
        <f t="shared" si="10"/>
      </c>
      <c r="B157" t="s" s="30">
        <v>34</v>
      </c>
      <c r="C157" s="35">
        <f>3.5*100</f>
      </c>
      <c r="D157" s="28">
        <f t="shared" si="11"/>
      </c>
      <c r="E157" s="29"/>
      <c r="F157" s="63">
        <f t="shared" si="12"/>
      </c>
      <c r="G157" s="64">
        <f t="shared" si="13"/>
      </c>
    </row>
    <row r="158" spans="1:7" ht="16">
      <c r="A158" s="62">
        <f t="shared" si="10"/>
      </c>
      <c r="B158" t="s" s="30">
        <v>35</v>
      </c>
      <c r="C158" s="35">
        <f>3.5*150</f>
      </c>
      <c r="D158" s="28">
        <f t="shared" si="11"/>
      </c>
      <c r="E158" s="29"/>
      <c r="F158" s="63">
        <f t="shared" si="12"/>
      </c>
      <c r="G158" s="64">
        <f t="shared" si="13"/>
      </c>
    </row>
    <row r="159" spans="1:7" ht="16">
      <c r="A159" s="62">
        <f t="shared" si="10"/>
      </c>
      <c r="B159" t="s" s="30">
        <v>36</v>
      </c>
      <c r="C159" s="35">
        <f>3.5*100</f>
      </c>
      <c r="D159" s="28">
        <f t="shared" si="11"/>
      </c>
      <c r="E159" s="29"/>
      <c r="F159" s="63">
        <f t="shared" si="12"/>
      </c>
      <c r="G159" s="64">
        <f t="shared" si="13"/>
      </c>
    </row>
    <row r="160" spans="1:7" ht="16">
      <c r="A160" s="62">
        <f t="shared" si="10"/>
      </c>
      <c r="B160" t="s" s="30">
        <v>37</v>
      </c>
      <c r="C160" s="35">
        <f>3.5*150</f>
      </c>
      <c r="D160" s="28">
        <f t="shared" si="11"/>
      </c>
      <c r="E160" s="29"/>
      <c r="F160" s="63">
        <f t="shared" si="12"/>
      </c>
      <c r="G160" s="64">
        <f t="shared" si="13"/>
      </c>
    </row>
    <row r="161" spans="1:7" ht="16">
      <c r="A161" s="62">
        <f t="shared" si="10"/>
      </c>
      <c r="B161" t="s" s="30">
        <v>38</v>
      </c>
      <c r="C161" s="35">
        <f>3.5*100</f>
      </c>
      <c r="D161" s="28">
        <f t="shared" si="11"/>
      </c>
      <c r="E161" s="29"/>
      <c r="F161" s="63">
        <f t="shared" si="12"/>
      </c>
      <c r="G161" s="64">
        <f t="shared" si="13"/>
      </c>
    </row>
    <row r="162" spans="1:7" ht="16">
      <c r="A162" s="62">
        <f t="shared" si="10"/>
      </c>
      <c r="B162" t="s" s="30">
        <v>39</v>
      </c>
      <c r="C162" s="35">
        <f>3.5*150</f>
      </c>
      <c r="D162" s="28">
        <f t="shared" si="11"/>
      </c>
      <c r="E162" s="29"/>
      <c r="F162" s="63">
        <f t="shared" si="12"/>
      </c>
      <c r="G162" s="64">
        <f t="shared" si="13"/>
      </c>
    </row>
    <row r="163" spans="1:7" ht="16">
      <c r="A163" s="62">
        <f t="shared" si="10"/>
      </c>
      <c r="B163" t="s" s="30">
        <v>40</v>
      </c>
      <c r="C163" s="35">
        <f>3.5*100</f>
      </c>
      <c r="D163" s="28">
        <f t="shared" si="11"/>
      </c>
      <c r="E163" s="29"/>
      <c r="F163" s="63">
        <f t="shared" si="12"/>
      </c>
      <c r="G163" s="64">
        <f t="shared" si="13"/>
      </c>
    </row>
    <row r="164" spans="1:7" ht="16">
      <c r="A164" s="62">
        <f t="shared" si="10"/>
      </c>
      <c r="B164" t="s" s="30">
        <v>41</v>
      </c>
      <c r="C164" s="35">
        <f>3.5*150</f>
      </c>
      <c r="D164" s="28">
        <f t="shared" si="11"/>
      </c>
      <c r="E164" s="29"/>
      <c r="F164" s="63">
        <f t="shared" si="12"/>
      </c>
      <c r="G164" s="64">
        <f t="shared" si="13"/>
      </c>
    </row>
    <row r="165" spans="1:7" ht="16">
      <c r="A165" s="62">
        <f t="shared" si="10"/>
      </c>
      <c r="B165" t="s" s="30">
        <v>42</v>
      </c>
      <c r="C165" s="35">
        <f>3.5*100</f>
      </c>
      <c r="D165" s="28">
        <f t="shared" si="11"/>
      </c>
      <c r="E165" s="29"/>
      <c r="F165" s="63">
        <f t="shared" si="12"/>
      </c>
      <c r="G165" s="64">
        <f t="shared" si="13"/>
      </c>
    </row>
    <row r="166" spans="1:7" ht="16">
      <c r="A166" s="62">
        <f t="shared" si="10"/>
      </c>
      <c r="B166" t="s" s="30">
        <v>43</v>
      </c>
      <c r="C166" s="35">
        <f>6*150</f>
      </c>
      <c r="D166" s="28">
        <f t="shared" si="11"/>
      </c>
      <c r="E166" s="29"/>
      <c r="F166" s="63">
        <f t="shared" si="12"/>
      </c>
      <c r="G166" s="64">
        <f t="shared" si="13"/>
      </c>
    </row>
    <row r="167" spans="1:7" ht="16">
      <c r="A167" s="62">
        <f t="shared" si="10"/>
      </c>
      <c r="B167" t="s" s="30">
        <v>44</v>
      </c>
      <c r="C167" s="35">
        <f>6*100</f>
      </c>
      <c r="D167" s="28">
        <f t="shared" si="11"/>
      </c>
      <c r="E167" s="29"/>
      <c r="F167" s="63">
        <f t="shared" si="12"/>
      </c>
      <c r="G167" s="64">
        <f t="shared" si="13"/>
      </c>
    </row>
    <row r="168" spans="1:7" ht="16">
      <c r="A168" s="62">
        <f t="shared" si="10"/>
      </c>
      <c r="B168" t="s" s="30">
        <v>45</v>
      </c>
      <c r="C168" s="35">
        <f>6*150</f>
      </c>
      <c r="D168" s="28">
        <f t="shared" si="11"/>
      </c>
      <c r="E168" s="29"/>
      <c r="F168" s="63">
        <f t="shared" si="12"/>
      </c>
      <c r="G168" s="64">
        <f t="shared" si="13"/>
      </c>
    </row>
    <row r="169" spans="1:7" ht="16">
      <c r="A169" s="62">
        <f t="shared" si="10"/>
      </c>
      <c r="B169" t="s" s="30">
        <v>46</v>
      </c>
      <c r="C169" s="35">
        <f>6*100</f>
      </c>
      <c r="D169" s="28">
        <f t="shared" si="11"/>
      </c>
      <c r="E169" s="29"/>
      <c r="F169" s="63">
        <f t="shared" si="12"/>
      </c>
      <c r="G169" s="64">
        <f t="shared" si="13"/>
      </c>
    </row>
    <row r="170" spans="1:7" ht="16">
      <c r="A170" s="62">
        <f t="shared" si="10"/>
      </c>
      <c r="B170" t="s" s="30">
        <v>47</v>
      </c>
      <c r="C170" s="35">
        <f>6*150</f>
      </c>
      <c r="D170" s="28">
        <f t="shared" si="11"/>
      </c>
      <c r="E170" s="29"/>
      <c r="F170" s="63">
        <f t="shared" si="12"/>
      </c>
      <c r="G170" s="64">
        <f t="shared" si="13"/>
      </c>
    </row>
    <row r="171" spans="1:7" ht="16">
      <c r="A171" s="62">
        <f t="shared" si="10"/>
      </c>
      <c r="B171" t="s" s="30">
        <v>48</v>
      </c>
      <c r="C171" s="35">
        <f>6*100</f>
      </c>
      <c r="D171" s="28">
        <f t="shared" si="11"/>
      </c>
      <c r="E171" s="29"/>
      <c r="F171" s="63">
        <f t="shared" si="12"/>
      </c>
      <c r="G171" s="64">
        <f t="shared" si="13"/>
      </c>
    </row>
    <row r="172" spans="1:7" ht="16">
      <c r="A172" s="62">
        <f t="shared" si="10"/>
      </c>
      <c r="B172" t="s" s="30">
        <v>49</v>
      </c>
      <c r="C172" s="35">
        <f>6*150</f>
      </c>
      <c r="D172" s="28">
        <f t="shared" si="11"/>
      </c>
      <c r="E172" s="29"/>
      <c r="F172" s="63">
        <f t="shared" si="12"/>
      </c>
      <c r="G172" s="64">
        <f t="shared" si="13"/>
      </c>
    </row>
    <row r="173" spans="1:7" ht="16">
      <c r="A173" s="62">
        <f t="shared" si="10"/>
      </c>
      <c r="B173" t="s" s="30">
        <v>50</v>
      </c>
      <c r="C173" s="35">
        <f>6*100</f>
      </c>
      <c r="D173" s="28">
        <f t="shared" si="11"/>
      </c>
      <c r="E173" s="29"/>
      <c r="F173" s="63">
        <f t="shared" si="12"/>
      </c>
      <c r="G173" s="64">
        <f t="shared" si="13"/>
      </c>
    </row>
    <row r="174" spans="1:7" ht="16">
      <c r="A174" s="62">
        <f t="shared" si="10"/>
      </c>
      <c r="B174" t="s" s="30">
        <v>51</v>
      </c>
      <c r="C174" s="35">
        <f>6*150</f>
      </c>
      <c r="D174" s="28">
        <f t="shared" si="11"/>
      </c>
      <c r="E174" s="29"/>
      <c r="F174" s="63">
        <f t="shared" si="12"/>
      </c>
      <c r="G174" s="64">
        <f t="shared" si="13"/>
      </c>
    </row>
    <row r="175" spans="1:7" ht="16">
      <c r="A175" s="62">
        <f t="shared" si="10"/>
      </c>
      <c r="B175" t="s" s="30">
        <v>52</v>
      </c>
      <c r="C175" s="35">
        <f>6*100</f>
      </c>
      <c r="D175" s="28">
        <f t="shared" si="11"/>
      </c>
      <c r="E175" s="29"/>
      <c r="F175" s="63">
        <f t="shared" si="12"/>
      </c>
      <c r="G175" s="64">
        <f t="shared" si="13"/>
      </c>
    </row>
    <row r="176" spans="1:7" ht="16">
      <c r="A176" s="62">
        <f t="shared" si="10"/>
      </c>
      <c r="B176" t="s" s="30">
        <v>53</v>
      </c>
      <c r="C176" s="35">
        <f>6*150</f>
      </c>
      <c r="D176" s="28">
        <f t="shared" si="11"/>
      </c>
      <c r="E176" s="29"/>
      <c r="F176" s="63">
        <f t="shared" si="12"/>
      </c>
      <c r="G176" s="64">
        <f t="shared" si="13"/>
      </c>
    </row>
    <row r="177" spans="1:7" ht="16">
      <c r="A177" s="62">
        <f t="shared" si="10"/>
      </c>
      <c r="B177" t="s" s="30">
        <v>54</v>
      </c>
      <c r="C177" s="35">
        <f>6*100</f>
      </c>
      <c r="D177" s="28">
        <f t="shared" si="11"/>
      </c>
      <c r="E177" s="29"/>
      <c r="F177" s="63">
        <f t="shared" si="12"/>
      </c>
      <c r="G177" s="64">
        <f t="shared" si="13"/>
      </c>
    </row>
    <row r="178" spans="1:7" ht="16">
      <c r="A178" s="62">
        <f t="shared" si="10"/>
      </c>
      <c r="B178" t="s" s="30">
        <v>55</v>
      </c>
      <c r="C178" s="35">
        <f>6*150</f>
      </c>
      <c r="D178" s="28">
        <f t="shared" si="11"/>
      </c>
      <c r="E178" s="29"/>
      <c r="F178" s="63">
        <f t="shared" si="12"/>
      </c>
      <c r="G178" s="64">
        <f t="shared" si="13"/>
      </c>
    </row>
    <row r="179" spans="1:7" ht="16">
      <c r="A179" s="62">
        <f t="shared" si="10"/>
      </c>
      <c r="B179" t="s" s="30">
        <v>56</v>
      </c>
      <c r="C179" s="35">
        <f>8*100</f>
      </c>
      <c r="D179" s="28">
        <f t="shared" si="11"/>
      </c>
      <c r="E179" s="29"/>
      <c r="F179" s="63">
        <f t="shared" si="12"/>
      </c>
      <c r="G179" s="64">
        <f t="shared" si="13"/>
      </c>
    </row>
    <row r="180" spans="1:7" ht="16">
      <c r="A180" s="62">
        <f t="shared" si="10"/>
      </c>
      <c r="B180" t="s" s="30">
        <v>57</v>
      </c>
      <c r="C180" s="35">
        <f>8*150</f>
      </c>
      <c r="D180" s="28">
        <f t="shared" si="11"/>
      </c>
      <c r="E180" s="29"/>
      <c r="F180" s="63">
        <f t="shared" si="12"/>
      </c>
      <c r="G180" s="64">
        <f t="shared" si="13"/>
      </c>
    </row>
    <row r="181" spans="1:7" ht="16">
      <c r="A181" s="62">
        <f t="shared" si="10"/>
      </c>
      <c r="B181" t="s" s="30">
        <v>58</v>
      </c>
      <c r="C181" s="35">
        <f>8*100</f>
      </c>
      <c r="D181" s="28">
        <f t="shared" si="11"/>
      </c>
      <c r="E181" s="29"/>
      <c r="F181" s="63">
        <f t="shared" si="12"/>
      </c>
      <c r="G181" s="64">
        <f t="shared" si="13"/>
      </c>
    </row>
    <row r="182" spans="1:7" ht="16">
      <c r="A182" s="62">
        <f t="shared" si="10"/>
      </c>
      <c r="B182" t="s" s="30">
        <v>59</v>
      </c>
      <c r="C182" s="28">
        <v>0</v>
      </c>
      <c r="D182" s="28">
        <f t="shared" si="11"/>
      </c>
      <c r="E182" s="29"/>
      <c r="F182" s="63">
        <f t="shared" si="12"/>
      </c>
      <c r="G182" s="64">
        <f t="shared" si="13"/>
      </c>
    </row>
    <row r="183" spans="1:7" ht="16">
      <c r="A183" s="62">
        <f t="shared" si="10"/>
      </c>
      <c r="B183" t="s" s="30">
        <v>60</v>
      </c>
      <c r="C183" s="28">
        <f t="shared" ref="C183:C188" si="14">C65</f>
      </c>
      <c r="D183" s="28">
        <f t="shared" si="11"/>
      </c>
      <c r="E183" s="29"/>
      <c r="F183" s="63">
        <f t="shared" si="12"/>
      </c>
      <c r="G183" s="64">
        <f t="shared" si="13"/>
      </c>
    </row>
    <row r="184" spans="1:7" ht="16">
      <c r="A184" s="62">
        <f t="shared" si="10"/>
      </c>
      <c r="B184" t="s" s="30">
        <v>61</v>
      </c>
      <c r="C184" s="28">
        <f t="shared" si="14"/>
      </c>
      <c r="D184" s="28">
        <f t="shared" si="11"/>
      </c>
      <c r="E184" s="29"/>
      <c r="F184" s="63">
        <f t="shared" si="12"/>
      </c>
      <c r="G184" s="64">
        <f t="shared" si="13"/>
      </c>
    </row>
    <row r="185" spans="1:7" ht="16">
      <c r="A185" s="62">
        <f t="shared" si="10"/>
      </c>
      <c r="B185" t="s" s="30">
        <v>62</v>
      </c>
      <c r="C185" s="28">
        <f t="shared" si="14"/>
      </c>
      <c r="D185" s="28">
        <f t="shared" si="11"/>
      </c>
      <c r="E185" s="29"/>
      <c r="F185" s="63">
        <f t="shared" si="12"/>
      </c>
      <c r="G185" s="64">
        <f t="shared" si="13"/>
      </c>
    </row>
    <row r="186" spans="1:7" ht="16">
      <c r="A186" s="62">
        <f t="shared" si="10"/>
      </c>
      <c r="B186" t="s" s="30">
        <v>63</v>
      </c>
      <c r="C186" s="28">
        <f t="shared" si="14"/>
      </c>
      <c r="D186" s="28">
        <f t="shared" si="11"/>
      </c>
      <c r="E186" s="29"/>
      <c r="F186" s="63">
        <f t="shared" si="12"/>
      </c>
      <c r="G186" s="64">
        <f t="shared" si="13"/>
      </c>
    </row>
    <row r="187" spans="1:7" ht="16">
      <c r="A187" s="62">
        <f t="shared" si="10"/>
      </c>
      <c r="B187" t="s" s="30">
        <v>64</v>
      </c>
      <c r="C187" s="28">
        <f t="shared" si="14"/>
      </c>
      <c r="D187" s="28">
        <f t="shared" si="11"/>
      </c>
      <c r="E187" s="29">
        <f t="shared" ref="E187:E218" si="15">E188+6</f>
      </c>
      <c r="F187" s="63">
        <f t="shared" si="12"/>
      </c>
      <c r="G187" s="64">
        <f t="shared" si="13"/>
      </c>
    </row>
    <row r="188" spans="1:7" ht="16">
      <c r="A188" s="62">
        <f t="shared" si="10"/>
      </c>
      <c r="B188" t="s" s="30">
        <v>65</v>
      </c>
      <c r="C188" s="28">
        <f t="shared" si="14"/>
      </c>
      <c r="D188" s="28">
        <f t="shared" si="11"/>
      </c>
      <c r="E188" s="29">
        <f t="shared" si="15"/>
      </c>
      <c r="F188" s="63">
        <f t="shared" si="12"/>
      </c>
      <c r="G188" s="64">
        <f t="shared" si="13"/>
      </c>
    </row>
    <row r="189" spans="1:7" ht="16">
      <c r="A189" s="62">
        <f t="shared" si="10"/>
      </c>
      <c r="B189" t="s" s="30">
        <v>66</v>
      </c>
      <c r="C189" s="28">
        <v>1000</v>
      </c>
      <c r="D189" s="28">
        <f t="shared" si="11"/>
      </c>
      <c r="E189" s="29">
        <f t="shared" si="15"/>
      </c>
      <c r="F189" s="63">
        <f t="shared" si="12"/>
      </c>
      <c r="G189" s="64">
        <f t="shared" si="13"/>
      </c>
    </row>
    <row r="190" spans="1:7" ht="16">
      <c r="A190" s="62">
        <f t="shared" si="10"/>
      </c>
      <c r="B190" t="s" s="30">
        <v>67</v>
      </c>
      <c r="C190" s="28">
        <v>1500</v>
      </c>
      <c r="D190" s="28">
        <f t="shared" si="11"/>
      </c>
      <c r="E190" s="29">
        <f t="shared" si="15"/>
      </c>
      <c r="F190" s="63">
        <f t="shared" si="12"/>
      </c>
      <c r="G190" s="64">
        <f t="shared" si="13"/>
      </c>
    </row>
    <row r="191" spans="1:7" ht="16">
      <c r="A191" s="62">
        <f t="shared" si="10"/>
      </c>
      <c r="B191" t="s" s="30">
        <v>68</v>
      </c>
      <c r="C191" s="28">
        <f t="shared" ref="C191:C199" si="16">C189</f>
      </c>
      <c r="D191" s="28">
        <f t="shared" si="11"/>
      </c>
      <c r="E191" s="29">
        <f t="shared" si="15"/>
      </c>
      <c r="F191" s="63">
        <f t="shared" si="12"/>
      </c>
      <c r="G191" s="64">
        <f t="shared" si="13"/>
      </c>
    </row>
    <row r="192" spans="1:7" ht="16">
      <c r="A192" s="62">
        <f t="shared" si="10"/>
      </c>
      <c r="B192" t="s" s="30">
        <v>69</v>
      </c>
      <c r="C192" s="28">
        <f t="shared" si="16"/>
      </c>
      <c r="D192" s="28">
        <f t="shared" si="11"/>
      </c>
      <c r="E192" s="29">
        <f t="shared" si="15"/>
      </c>
      <c r="F192" s="63">
        <f t="shared" si="12"/>
      </c>
      <c r="G192" s="64">
        <f t="shared" si="13"/>
      </c>
    </row>
    <row r="193" spans="1:7" ht="16">
      <c r="A193" s="62">
        <f t="shared" si="10"/>
      </c>
      <c r="B193" t="s" s="30">
        <v>70</v>
      </c>
      <c r="C193" s="28">
        <f t="shared" si="16"/>
      </c>
      <c r="D193" s="28">
        <f t="shared" si="11"/>
      </c>
      <c r="E193" s="29">
        <f t="shared" si="15"/>
      </c>
      <c r="F193" s="63">
        <f t="shared" si="12"/>
      </c>
      <c r="G193" s="64">
        <f t="shared" si="13"/>
      </c>
    </row>
    <row r="194" spans="1:7" ht="16">
      <c r="A194" s="62">
        <f t="shared" si="10"/>
      </c>
      <c r="B194" t="s" s="30">
        <v>71</v>
      </c>
      <c r="C194" s="28">
        <f t="shared" si="16"/>
      </c>
      <c r="D194" s="28">
        <f t="shared" si="11"/>
      </c>
      <c r="E194" s="29">
        <f t="shared" si="15"/>
      </c>
      <c r="F194" s="63">
        <f t="shared" si="12"/>
      </c>
      <c r="G194" s="64">
        <f t="shared" si="13"/>
      </c>
    </row>
    <row r="195" spans="1:7" ht="16">
      <c r="A195" s="62">
        <f t="shared" si="10"/>
      </c>
      <c r="B195" t="s" s="30">
        <v>72</v>
      </c>
      <c r="C195" s="28">
        <f t="shared" si="16"/>
      </c>
      <c r="D195" s="28">
        <f t="shared" si="11"/>
      </c>
      <c r="E195" s="31">
        <f t="shared" si="15"/>
      </c>
      <c r="F195" s="63">
        <f t="shared" si="12"/>
      </c>
      <c r="G195" s="64">
        <f t="shared" si="13"/>
      </c>
    </row>
    <row r="196" spans="1:7" ht="16">
      <c r="A196" s="62">
        <f t="shared" si="10"/>
      </c>
      <c r="B196" t="s" s="30">
        <v>73</v>
      </c>
      <c r="C196" s="28">
        <f t="shared" si="16"/>
      </c>
      <c r="D196" s="28">
        <f t="shared" si="11"/>
      </c>
      <c r="E196" s="29">
        <f t="shared" si="15"/>
      </c>
      <c r="F196" s="63">
        <f t="shared" si="12"/>
      </c>
      <c r="G196" s="64">
        <f t="shared" si="13"/>
      </c>
    </row>
    <row r="197" spans="1:7" ht="16">
      <c r="A197" s="62">
        <f t="shared" si="10"/>
      </c>
      <c r="B197" t="s" s="30">
        <v>74</v>
      </c>
      <c r="C197" s="28">
        <f t="shared" si="16"/>
      </c>
      <c r="D197" s="28">
        <f t="shared" si="11"/>
      </c>
      <c r="E197" s="31">
        <f t="shared" si="15"/>
      </c>
      <c r="F197" s="63">
        <f t="shared" si="12"/>
      </c>
      <c r="G197" s="64">
        <f t="shared" si="13"/>
      </c>
    </row>
    <row r="198" spans="1:7" ht="16">
      <c r="A198" s="62">
        <f t="shared" si="10"/>
      </c>
      <c r="B198" t="s" s="30">
        <v>75</v>
      </c>
      <c r="C198" s="28">
        <f t="shared" si="16"/>
      </c>
      <c r="D198" s="28">
        <f t="shared" si="11"/>
      </c>
      <c r="E198" s="31">
        <f t="shared" si="15"/>
      </c>
      <c r="F198" s="63">
        <f t="shared" si="12"/>
      </c>
      <c r="G198" s="64">
        <f t="shared" si="13"/>
      </c>
    </row>
    <row r="199" spans="1:7" ht="16">
      <c r="A199" s="62">
        <f t="shared" si="10"/>
      </c>
      <c r="B199" t="s" s="30">
        <v>76</v>
      </c>
      <c r="C199" s="28">
        <f t="shared" si="16"/>
      </c>
      <c r="D199" s="28">
        <f t="shared" si="11"/>
      </c>
      <c r="E199" s="31">
        <f t="shared" si="15"/>
      </c>
      <c r="F199" s="63">
        <f t="shared" si="12"/>
      </c>
      <c r="G199" s="64">
        <f t="shared" si="13"/>
      </c>
    </row>
    <row r="200" spans="1:7" ht="16">
      <c r="A200" s="65">
        <f t="shared" si="10"/>
      </c>
      <c r="B200" t="s" s="30">
        <v>77</v>
      </c>
      <c r="C200" s="28">
        <f>11*150</f>
      </c>
      <c r="D200" s="28">
        <f t="shared" si="11"/>
      </c>
      <c r="E200" s="31">
        <f t="shared" si="15"/>
      </c>
      <c r="F200" s="63">
        <f t="shared" si="12"/>
      </c>
      <c r="G200" s="64">
        <f t="shared" si="13"/>
      </c>
    </row>
    <row r="201" spans="1:7" ht="16">
      <c r="A201" s="66">
        <f t="shared" ref="A201:A219" si="17">A83</f>
      </c>
      <c r="B201" t="s" s="27">
        <v>78</v>
      </c>
      <c r="C201" s="28">
        <f>11*100</f>
      </c>
      <c r="D201" s="28">
        <f t="shared" ref="D201:D219" si="18">A201*C201</f>
      </c>
      <c r="E201" s="31">
        <f t="shared" si="15"/>
      </c>
      <c r="F201" s="63">
        <f t="shared" ref="F201:F219" si="19">D201*E201/100</f>
      </c>
      <c r="G201" s="64">
        <f t="shared" ref="G201:G219" si="20">D201+F201</f>
      </c>
    </row>
    <row r="202" spans="1:7" ht="16">
      <c r="A202" s="66">
        <f t="shared" si="17"/>
      </c>
      <c r="B202" t="s" s="67">
        <v>79</v>
      </c>
      <c r="C202" s="28">
        <f>C200</f>
      </c>
      <c r="D202" s="28">
        <f t="shared" si="18"/>
      </c>
      <c r="E202" s="31">
        <f t="shared" si="15"/>
      </c>
      <c r="F202" s="63">
        <f t="shared" si="19"/>
      </c>
      <c r="G202" s="64">
        <f t="shared" si="20"/>
      </c>
    </row>
    <row r="203" spans="1:7" ht="16">
      <c r="A203" s="68">
        <f t="shared" si="17"/>
      </c>
      <c r="B203" t="s" s="36">
        <v>80</v>
      </c>
      <c r="C203" s="69">
        <f>C201</f>
      </c>
      <c r="D203" s="28">
        <f t="shared" si="18"/>
      </c>
      <c r="E203" s="31">
        <f t="shared" si="15"/>
      </c>
      <c r="F203" s="63">
        <f t="shared" si="19"/>
      </c>
      <c r="G203" s="64">
        <f t="shared" si="20"/>
      </c>
    </row>
    <row r="204" spans="1:7" ht="16">
      <c r="A204" s="66">
        <f t="shared" si="17"/>
      </c>
      <c r="B204" t="s" s="34">
        <v>81</v>
      </c>
      <c r="C204" s="35">
        <f>C86</f>
      </c>
      <c r="D204" s="28">
        <f t="shared" si="18"/>
      </c>
      <c r="E204" s="31">
        <f t="shared" si="15"/>
      </c>
      <c r="F204" s="63">
        <f t="shared" si="19"/>
      </c>
      <c r="G204" s="64">
        <f t="shared" si="20"/>
      </c>
    </row>
    <row r="205" spans="1:7" ht="16">
      <c r="A205" s="66">
        <f t="shared" si="17"/>
      </c>
      <c r="B205" t="s" s="34">
        <v>82</v>
      </c>
      <c r="C205" s="35">
        <f>15*100</f>
      </c>
      <c r="D205" s="28">
        <f t="shared" si="18"/>
      </c>
      <c r="E205" s="31">
        <f t="shared" si="15"/>
      </c>
      <c r="F205" s="63">
        <f t="shared" si="19"/>
      </c>
      <c r="G205" s="64">
        <f t="shared" si="20"/>
      </c>
    </row>
    <row r="206" spans="1:7" ht="16">
      <c r="A206" s="66">
        <f t="shared" si="17"/>
      </c>
      <c r="B206" t="s" s="34">
        <v>83</v>
      </c>
      <c r="C206" s="35">
        <f>C204</f>
      </c>
      <c r="D206" s="28">
        <f t="shared" si="18"/>
      </c>
      <c r="E206" s="31">
        <f t="shared" si="15"/>
      </c>
      <c r="F206" s="63">
        <f t="shared" si="19"/>
      </c>
      <c r="G206" s="64">
        <f t="shared" si="20"/>
      </c>
    </row>
    <row r="207" spans="1:7" ht="16">
      <c r="A207" s="66">
        <f t="shared" si="17"/>
      </c>
      <c r="B207" t="s" s="34">
        <v>84</v>
      </c>
      <c r="C207" s="35">
        <f>C205</f>
      </c>
      <c r="D207" s="28">
        <f t="shared" si="18"/>
      </c>
      <c r="E207" s="31">
        <f t="shared" si="15"/>
      </c>
      <c r="F207" s="63">
        <f t="shared" si="19"/>
      </c>
      <c r="G207" s="64">
        <f t="shared" si="20"/>
      </c>
    </row>
    <row r="208" spans="1:7" ht="16">
      <c r="A208" s="66">
        <f t="shared" si="17"/>
      </c>
      <c r="B208" t="s" s="34">
        <v>85</v>
      </c>
      <c r="C208" s="35">
        <f>C206</f>
      </c>
      <c r="D208" s="28">
        <f t="shared" si="18"/>
      </c>
      <c r="E208" s="31">
        <f t="shared" si="15"/>
      </c>
      <c r="F208" s="63">
        <f t="shared" si="19"/>
      </c>
      <c r="G208" s="64">
        <f t="shared" si="20"/>
      </c>
    </row>
    <row r="209" spans="1:7" ht="16">
      <c r="A209" s="70">
        <f t="shared" si="17"/>
      </c>
      <c r="B209" t="s" s="34">
        <v>86</v>
      </c>
      <c r="C209" s="71">
        <v>1500</v>
      </c>
      <c r="D209" s="28">
        <f t="shared" si="18"/>
      </c>
      <c r="E209" s="31">
        <f t="shared" si="15"/>
      </c>
      <c r="F209" s="63">
        <f t="shared" si="19"/>
      </c>
      <c r="G209" s="64">
        <f t="shared" si="20"/>
      </c>
    </row>
    <row r="210" spans="1:7" ht="16">
      <c r="A210" s="70">
        <f t="shared" si="17"/>
      </c>
      <c r="B210" t="s" s="34">
        <v>87</v>
      </c>
      <c r="C210" s="71">
        <v>2550</v>
      </c>
      <c r="D210" s="28">
        <f t="shared" si="18"/>
      </c>
      <c r="E210" s="31">
        <f t="shared" si="15"/>
      </c>
      <c r="F210" s="63">
        <f t="shared" si="19"/>
      </c>
      <c r="G210" s="64">
        <f t="shared" si="20"/>
      </c>
    </row>
    <row r="211" spans="1:7" ht="16">
      <c r="A211" s="70">
        <f t="shared" si="17"/>
      </c>
      <c r="B211" t="s" s="34">
        <v>88</v>
      </c>
      <c r="C211" s="71">
        <v>1700</v>
      </c>
      <c r="D211" s="28">
        <f t="shared" si="18"/>
      </c>
      <c r="E211" s="31">
        <f t="shared" si="15"/>
      </c>
      <c r="F211" s="63">
        <f t="shared" si="19"/>
      </c>
      <c r="G211" s="64">
        <f t="shared" si="20"/>
      </c>
    </row>
    <row r="212" spans="1:7" ht="16">
      <c r="A212" s="70">
        <f t="shared" si="17"/>
      </c>
      <c r="B212" t="s" s="34">
        <v>89</v>
      </c>
      <c r="C212" s="71">
        <f>17*150</f>
      </c>
      <c r="D212" s="28">
        <f t="shared" si="18"/>
      </c>
      <c r="E212" s="31">
        <f t="shared" si="15"/>
      </c>
      <c r="F212" s="63">
        <f t="shared" si="19"/>
      </c>
      <c r="G212" s="64">
        <f t="shared" si="20"/>
      </c>
    </row>
    <row r="213" spans="1:7" ht="16">
      <c r="A213" s="70">
        <f t="shared" si="17"/>
      </c>
      <c r="B213" t="s" s="34">
        <v>90</v>
      </c>
      <c r="C213" s="71">
        <f>17*100</f>
      </c>
      <c r="D213" s="28">
        <f t="shared" si="18"/>
      </c>
      <c r="E213" s="31">
        <f t="shared" si="15"/>
      </c>
      <c r="F213" s="63">
        <f t="shared" si="19"/>
      </c>
      <c r="G213" s="64">
        <f t="shared" si="20"/>
      </c>
    </row>
    <row r="214" spans="1:7" ht="16">
      <c r="A214" s="70">
        <f t="shared" si="17"/>
      </c>
      <c r="B214" t="s" s="34">
        <v>91</v>
      </c>
      <c r="C214" s="71">
        <f>C212</f>
      </c>
      <c r="D214" s="28">
        <f t="shared" si="18"/>
      </c>
      <c r="E214" s="31">
        <f t="shared" si="15"/>
      </c>
      <c r="F214" s="63">
        <f t="shared" si="19"/>
      </c>
      <c r="G214" s="64">
        <f t="shared" si="20"/>
      </c>
    </row>
    <row r="215" spans="1:7" ht="16">
      <c r="A215" s="70">
        <f t="shared" si="17"/>
      </c>
      <c r="B215" t="s" s="34">
        <v>92</v>
      </c>
      <c r="C215" s="71">
        <f>17*100</f>
      </c>
      <c r="D215" s="28">
        <f t="shared" si="18"/>
      </c>
      <c r="E215" s="31">
        <f t="shared" si="15"/>
      </c>
      <c r="F215" s="63">
        <f t="shared" si="19"/>
      </c>
      <c r="G215" s="64">
        <f t="shared" si="20"/>
      </c>
    </row>
    <row r="216" spans="1:7" ht="16">
      <c r="A216" s="70">
        <f t="shared" si="17"/>
      </c>
      <c r="B216" t="s" s="34">
        <v>93</v>
      </c>
      <c r="C216" s="35">
        <f>C214</f>
      </c>
      <c r="D216" s="28">
        <f t="shared" si="18"/>
      </c>
      <c r="E216" s="31">
        <f t="shared" si="15"/>
      </c>
      <c r="F216" s="63">
        <f t="shared" si="19"/>
      </c>
      <c r="G216" s="64">
        <f t="shared" si="20"/>
      </c>
    </row>
    <row r="217" spans="1:7" ht="16">
      <c r="A217" s="70">
        <f t="shared" si="17"/>
      </c>
      <c r="B217" t="s" s="34">
        <v>94</v>
      </c>
      <c r="C217" s="71">
        <f>17*100</f>
      </c>
      <c r="D217" s="28">
        <f t="shared" si="18"/>
      </c>
      <c r="E217" s="31">
        <f t="shared" si="15"/>
      </c>
      <c r="F217" s="63">
        <f t="shared" si="19"/>
      </c>
      <c r="G217" s="64">
        <f t="shared" si="20"/>
      </c>
    </row>
    <row r="218" spans="1:7" ht="16">
      <c r="A218" s="70">
        <f t="shared" si="17"/>
      </c>
      <c r="B218" t="s" s="34">
        <v>95</v>
      </c>
      <c r="C218" s="35">
        <f>C216</f>
      </c>
      <c r="D218" s="28">
        <f t="shared" si="18"/>
      </c>
      <c r="E218" s="31">
        <f t="shared" si="15"/>
      </c>
      <c r="F218" s="63">
        <f t="shared" si="19"/>
      </c>
      <c r="G218" s="64">
        <f t="shared" si="20"/>
      </c>
    </row>
    <row r="219" spans="1:7" ht="16">
      <c r="A219" s="70">
        <f t="shared" si="17"/>
      </c>
      <c r="B219" t="s" s="34">
        <v>96</v>
      </c>
      <c r="C219" s="71">
        <f>17*100</f>
      </c>
      <c r="D219" s="28">
        <f t="shared" si="18"/>
      </c>
      <c r="E219" s="31">
        <v>10</v>
      </c>
      <c r="F219" s="63">
        <f t="shared" si="19"/>
      </c>
      <c r="G219" s="40">
        <f t="shared" si="20"/>
      </c>
    </row>
    <row r="220" spans="1:7" ht="16">
      <c r="A220" t="s" s="229">
        <v>97</v>
      </c>
      <c r="B220" s="229"/>
      <c r="C220" s="229"/>
      <c r="D220" s="72">
        <f>SUM(D137:D219)</f>
      </c>
      <c r="E220" s="73"/>
      <c r="F220" s="72">
        <f>SUM(F137:F219)</f>
      </c>
      <c r="G220" s="72">
        <f>SUM(G137:G219)</f>
      </c>
    </row>
    <row r="221" spans="1:7">
      <c r="A221" t="s" s="74">
        <v>98</v>
      </c>
      <c r="B221" s="75"/>
      <c r="C221" s="75"/>
      <c r="D221" s="230"/>
      <c r="E221" s="230"/>
      <c r="F221" s="231"/>
      <c r="G221" s="40">
        <f>G103</f>
      </c>
    </row>
    <row r="222" spans="1:7" ht="23">
      <c r="A222" t="s" s="232">
        <v>99</v>
      </c>
      <c r="B222" s="232"/>
      <c r="C222" s="232"/>
      <c r="D222" s="232"/>
      <c r="E222" s="232"/>
      <c r="F222" s="233"/>
      <c r="G222" s="76">
        <f>G220+G221</f>
      </c>
    </row>
    <row r="223" spans="1:7">
      <c r="A223" t="s" s="46">
        <v>100</v>
      </c>
      <c r="B223" s="4"/>
      <c r="C223" s="4"/>
      <c r="D223" s="47"/>
      <c r="E223" s="48"/>
      <c r="F223" s="49"/>
      <c r="G223" s="50"/>
    </row>
    <row r="224" spans="1:7">
      <c r="A224" s="4"/>
      <c r="B224" s="4"/>
      <c r="C224" s="4"/>
      <c r="D224" s="47"/>
      <c r="E224" s="48"/>
      <c r="F224" s="49"/>
      <c r="G224" s="50"/>
    </row>
    <row r="225" spans="1:7">
      <c r="A225" t="s" s="4">
        <v>101</v>
      </c>
      <c r="B225" s="4"/>
      <c r="C225" t="s" s="4">
        <v>102</v>
      </c>
      <c r="D225" t="s" s="4">
        <v>103</v>
      </c>
      <c r="E225" s="4"/>
      <c r="F225" s="4"/>
      <c r="G225" t="s" s="4">
        <v>104</v>
      </c>
    </row>
    <row r="226" spans="1:7">
      <c r="A226" s="4"/>
      <c r="B226" s="4"/>
      <c r="C226" s="4"/>
      <c r="D226" s="4"/>
      <c r="E226" s="4"/>
      <c r="F226" s="4"/>
      <c r="G226" s="7"/>
    </row>
    <row r="227" spans="1:7">
      <c r="A227" s="77"/>
      <c r="B227" s="77"/>
      <c r="C227" t="s" s="58">
        <v>291</v>
      </c>
      <c r="D227" s="51"/>
      <c r="E227" t="s" s="218">
        <v>122</v>
      </c>
      <c r="F227" s="218"/>
      <c r="G227" t="s" s="51">
        <v>123</v>
      </c>
    </row>
    <row r="228" spans="1:7">
      <c r="A228" t="s" s="234">
        <v>124</v>
      </c>
      <c r="B228" s="234"/>
      <c r="C228" t="s" s="4">
        <v>125</v>
      </c>
      <c r="D228" s="4"/>
      <c r="E228" t="s" s="208">
        <v>126</v>
      </c>
      <c r="F228" s="208"/>
      <c r="G228" t="s" s="7">
        <v>112</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F884-498B-4A3F-B123-E8BF08BA2EE3}">
  <sheetPr/>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t="s" s="200">
        <v>198</v>
      </c>
      <c r="C2" s="201"/>
    </row>
    <row r="3" spans="2:3">
      <c r="B3" t="s" s="139">
        <v>190</v>
      </c>
      <c r="C3" s="146">
        <v>3809</v>
      </c>
    </row>
    <row r="4" spans="2:3">
      <c r="B4" t="s" s="139">
        <v>189</v>
      </c>
      <c r="C4" s="146">
        <f>'00 ACC DETAILS 01'!C4</f>
      </c>
    </row>
    <row r="5" spans="2:3">
      <c r="B5" t="s" s="139">
        <v>197</v>
      </c>
      <c r="C5" s="146">
        <f>'00 ACC DETAILS 01'!C5</f>
      </c>
    </row>
    <row r="6" spans="2:3">
      <c r="B6" t="s" s="139">
        <v>195</v>
      </c>
      <c r="C6" s="146"/>
    </row>
    <row r="7" spans="2:3">
      <c r="B7" t="s" s="147">
        <v>148</v>
      </c>
      <c r="C7" s="146">
        <f>'00 ACC DETAILS 01'!C7</f>
      </c>
    </row>
    <row r="8" spans="2:3">
      <c r="B8" t="s" s="147">
        <v>149</v>
      </c>
      <c r="C8" s="146">
        <f>'00 ACC DETAILS 01'!C8</f>
      </c>
    </row>
    <row r="9" spans="2:3">
      <c r="B9" t="s" s="147">
        <v>188</v>
      </c>
      <c r="C9" s="146">
        <f>'00 ACC DETAILS 01'!C9</f>
      </c>
    </row>
    <row r="10" spans="2:3">
      <c r="B10" t="s" s="139">
        <v>196</v>
      </c>
      <c r="C10" s="146"/>
    </row>
    <row r="11" spans="2:3">
      <c r="B11" t="s" s="147">
        <v>148</v>
      </c>
      <c r="C11" t="s" s="146">
        <v>172</v>
      </c>
    </row>
    <row r="12" spans="2:3">
      <c r="B12" t="s" s="147">
        <v>149</v>
      </c>
      <c r="C12" s="146"/>
    </row>
    <row r="13" spans="2:3">
      <c r="B13" t="s" s="147">
        <v>188</v>
      </c>
      <c r="C13" t="s" s="146">
        <v>171</v>
      </c>
    </row>
    <row r="14" spans="2:3">
      <c r="B14" t="s" s="139">
        <v>134</v>
      </c>
      <c r="C14" s="146"/>
    </row>
    <row r="15" spans="2:3">
      <c r="B15" t="s" s="147">
        <v>191</v>
      </c>
      <c r="C15" s="146">
        <f>'00 ACC DETAILS 01'!C15</f>
      </c>
    </row>
    <row r="16" spans="2:3">
      <c r="B16" t="s" s="147">
        <v>192</v>
      </c>
      <c r="C16" s="146">
        <f>'00 ACC DETAILS 01'!C16</f>
      </c>
    </row>
    <row r="17" spans="1:5">
      <c r="B17" t="s" s="147">
        <v>145</v>
      </c>
      <c r="C17" s="146">
        <f>'00 ACC DETAILS 01'!C17</f>
      </c>
    </row>
    <row r="18" spans="1:5">
      <c r="B18" t="s" s="139">
        <v>193</v>
      </c>
      <c r="C18" s="146"/>
    </row>
    <row r="19" spans="1:5">
      <c r="B19" t="s" s="147">
        <v>191</v>
      </c>
      <c r="C19" s="146">
        <f>'00 ACC DETAILS 01'!C19</f>
      </c>
    </row>
    <row r="20" spans="1:5">
      <c r="B20" t="s" s="147">
        <v>192</v>
      </c>
      <c r="C20" s="146">
        <f>'00 ACC DETAILS 01'!C20</f>
      </c>
    </row>
    <row r="21" spans="1:5">
      <c r="B21" t="s" s="147">
        <v>145</v>
      </c>
      <c r="C21" s="146">
        <f>'00 ACC DETAILS 01'!C21</f>
      </c>
    </row>
    <row r="22" spans="1:5">
      <c r="B22" t="s" s="139">
        <v>194</v>
      </c>
      <c r="C22" s="146"/>
    </row>
    <row r="23" spans="1:5">
      <c r="B23" t="s" s="147">
        <v>191</v>
      </c>
      <c r="C23" s="146">
        <f>'00 ACC DETAILS 01'!C23</f>
      </c>
    </row>
    <row r="24" spans="1:5">
      <c r="B24" t="s" s="147">
        <v>192</v>
      </c>
      <c r="C24" s="146">
        <f>'00 ACC DETAILS 01'!C24</f>
      </c>
    </row>
    <row r="25" spans="1:5" ht="16" thickBot="1">
      <c r="B25" t="s" s="148">
        <v>145</v>
      </c>
      <c r="C25" s="149">
        <f>'00 ACC DETAILS 01'!C25</f>
      </c>
    </row>
    <row r="28" spans="1:5" ht="16" thickBot="1">
      <c r="A28" t="s" s="106">
        <v>201</v>
      </c>
    </row>
    <row r="29" spans="1:5" ht="16" thickBot="1">
      <c r="A29" s="154"/>
      <c r="B29" t="s" s="156">
        <v>199</v>
      </c>
      <c r="C29" t="s" s="157">
        <v>200</v>
      </c>
      <c r="D29" t="s" s="157">
        <v>7</v>
      </c>
      <c r="E29" s="155"/>
    </row>
    <row r="30" spans="1:5" ht="16">
      <c r="A30" s="150">
        <v>1</v>
      </c>
      <c r="B30" s="151"/>
      <c r="C30" s="151"/>
      <c r="D30" s="152"/>
      <c r="E30" s="153">
        <f>IF(ISBLANK(B30),0,IF(C30&lt;2000,RIGHT(C30,2),C30)&amp;"-"&amp;IF(B30="wet","W","D"))</f>
      </c>
    </row>
    <row r="31" spans="1:5" ht="16">
      <c r="A31" s="139">
        <v>2</v>
      </c>
      <c r="B31" s="135"/>
      <c r="C31" s="135"/>
      <c r="D31" s="136"/>
      <c r="E31" s="140">
        <f t="shared" ref="E31:E94" si="0">IF(ISBLANK(B31),0,IF(C31&lt;2000,RIGHT(C31,2),C31)&amp;"-"&amp;IF(B31="wet","W","D"))</f>
      </c>
    </row>
    <row r="32" spans="1:5" ht="16">
      <c r="A32" s="139">
        <v>3</v>
      </c>
      <c r="B32" s="135"/>
      <c r="C32" s="135"/>
      <c r="D32" s="136"/>
      <c r="E32" s="140">
        <f t="shared" si="0"/>
      </c>
    </row>
    <row r="33" spans="1:5" ht="16">
      <c r="A33" s="139">
        <v>4</v>
      </c>
      <c r="B33" s="135"/>
      <c r="C33" s="135"/>
      <c r="D33" s="136"/>
      <c r="E33" s="140">
        <f t="shared" si="0"/>
      </c>
    </row>
    <row r="34" spans="1:5" ht="16">
      <c r="A34" s="139">
        <v>5</v>
      </c>
      <c r="B34" s="135"/>
      <c r="C34" s="135"/>
      <c r="D34" s="136"/>
      <c r="E34" s="140">
        <f t="shared" si="0"/>
      </c>
    </row>
    <row r="35" spans="1:5" ht="16">
      <c r="A35" s="139">
        <v>6</v>
      </c>
      <c r="B35" s="135"/>
      <c r="C35" s="135"/>
      <c r="D35" s="136"/>
      <c r="E35" s="140">
        <f t="shared" si="0"/>
      </c>
    </row>
    <row r="36" spans="1:5" ht="16">
      <c r="A36" s="139">
        <v>7</v>
      </c>
      <c r="B36" s="135"/>
      <c r="C36" s="135"/>
      <c r="D36" s="136"/>
      <c r="E36" s="140">
        <f t="shared" si="0"/>
      </c>
    </row>
    <row r="37" spans="1:5" ht="16">
      <c r="A37" s="139">
        <v>8</v>
      </c>
      <c r="B37" s="135"/>
      <c r="C37" s="135"/>
      <c r="D37" s="136"/>
      <c r="E37" s="140">
        <f t="shared" si="0"/>
      </c>
    </row>
    <row r="38" spans="1:5" ht="16">
      <c r="A38" s="139">
        <v>9</v>
      </c>
      <c r="B38" s="135"/>
      <c r="C38" s="135"/>
      <c r="D38" s="136"/>
      <c r="E38" s="140">
        <f t="shared" si="0"/>
      </c>
    </row>
    <row r="39" spans="1:5" ht="16">
      <c r="A39" s="139">
        <v>10</v>
      </c>
      <c r="B39" s="135"/>
      <c r="C39" s="135"/>
      <c r="D39" s="136"/>
      <c r="E39" s="140">
        <f t="shared" si="0"/>
      </c>
    </row>
    <row r="40" spans="1:5" ht="16">
      <c r="A40" s="139">
        <v>11</v>
      </c>
      <c r="B40" s="135"/>
      <c r="C40" s="135"/>
      <c r="D40" s="136"/>
      <c r="E40" s="140">
        <f t="shared" si="0"/>
      </c>
    </row>
    <row r="41" spans="1:5" ht="16">
      <c r="A41" s="139">
        <v>12</v>
      </c>
      <c r="B41" s="135"/>
      <c r="C41" s="135"/>
      <c r="D41" s="136"/>
      <c r="E41" s="140">
        <f t="shared" si="0"/>
      </c>
    </row>
    <row r="42" spans="1:5" ht="16">
      <c r="A42" s="139">
        <v>13</v>
      </c>
      <c r="B42" s="135"/>
      <c r="C42" s="135"/>
      <c r="D42" s="136"/>
      <c r="E42" s="140">
        <f t="shared" si="0"/>
      </c>
    </row>
    <row r="43" spans="1:5" ht="16">
      <c r="A43" s="139">
        <v>14</v>
      </c>
      <c r="B43" s="135"/>
      <c r="C43" s="135"/>
      <c r="D43" s="136"/>
      <c r="E43" s="140">
        <f t="shared" si="0"/>
      </c>
    </row>
    <row r="44" spans="1:5" ht="16">
      <c r="A44" s="139">
        <v>15</v>
      </c>
      <c r="B44" s="135"/>
      <c r="C44" s="135"/>
      <c r="D44" s="136"/>
      <c r="E44" s="140">
        <f t="shared" si="0"/>
      </c>
    </row>
    <row r="45" spans="1:5" ht="16">
      <c r="A45" s="139">
        <v>16</v>
      </c>
      <c r="B45" s="135"/>
      <c r="C45" s="135"/>
      <c r="D45" s="136"/>
      <c r="E45" s="140">
        <f t="shared" si="0"/>
      </c>
    </row>
    <row r="46" spans="1:5" ht="16">
      <c r="A46" s="139">
        <v>17</v>
      </c>
      <c r="B46" s="135"/>
      <c r="C46" s="135"/>
      <c r="D46" s="136"/>
      <c r="E46" s="140">
        <f t="shared" si="0"/>
      </c>
    </row>
    <row r="47" spans="1:5" ht="16">
      <c r="A47" s="139">
        <v>18</v>
      </c>
      <c r="B47" s="135"/>
      <c r="C47" s="135"/>
      <c r="D47" s="136"/>
      <c r="E47" s="140">
        <f t="shared" si="0"/>
      </c>
    </row>
    <row r="48" spans="1:5" ht="16">
      <c r="A48" s="139">
        <v>19</v>
      </c>
      <c r="B48" s="135"/>
      <c r="C48" s="135"/>
      <c r="D48" s="136"/>
      <c r="E48" s="140">
        <f t="shared" si="0"/>
      </c>
    </row>
    <row r="49" spans="1:5" ht="16">
      <c r="A49" s="139">
        <v>20</v>
      </c>
      <c r="B49" s="135"/>
      <c r="C49" s="135"/>
      <c r="D49" s="136"/>
      <c r="E49" s="140">
        <f t="shared" si="0"/>
      </c>
    </row>
    <row r="50" spans="1:5" ht="16">
      <c r="A50" s="139">
        <v>21</v>
      </c>
      <c r="B50" s="135"/>
      <c r="C50" s="135"/>
      <c r="D50" s="136"/>
      <c r="E50" s="140">
        <f t="shared" si="0"/>
      </c>
    </row>
    <row r="51" spans="1:5" ht="16">
      <c r="A51" s="139">
        <v>22</v>
      </c>
      <c r="B51" s="135"/>
      <c r="C51" s="135"/>
      <c r="D51" s="136"/>
      <c r="E51" s="140">
        <f t="shared" si="0"/>
      </c>
    </row>
    <row r="52" spans="1:5" ht="16">
      <c r="A52" s="139">
        <v>23</v>
      </c>
      <c r="B52" s="135"/>
      <c r="C52" s="135"/>
      <c r="D52" s="136"/>
      <c r="E52" s="140">
        <f t="shared" si="0"/>
      </c>
    </row>
    <row r="53" spans="1:5" ht="16">
      <c r="A53" s="139">
        <v>24</v>
      </c>
      <c r="B53" s="135"/>
      <c r="C53" s="135"/>
      <c r="D53" s="136"/>
      <c r="E53" s="140">
        <f t="shared" si="0"/>
      </c>
    </row>
    <row r="54" spans="1:5" ht="16">
      <c r="A54" s="139">
        <v>25</v>
      </c>
      <c r="B54" s="135"/>
      <c r="C54" s="135"/>
      <c r="D54" s="136"/>
      <c r="E54" s="140">
        <f t="shared" si="0"/>
      </c>
    </row>
    <row r="55" spans="1:5" ht="16">
      <c r="A55" s="139">
        <v>26</v>
      </c>
      <c r="B55" s="135"/>
      <c r="C55" s="135"/>
      <c r="D55" s="136"/>
      <c r="E55" s="140">
        <f t="shared" si="0"/>
      </c>
    </row>
    <row r="56" spans="1:5" ht="16">
      <c r="A56" s="139">
        <v>27</v>
      </c>
      <c r="B56" s="135"/>
      <c r="C56" s="135"/>
      <c r="D56" s="136"/>
      <c r="E56" s="140">
        <f t="shared" si="0"/>
      </c>
    </row>
    <row r="57" spans="1:5" ht="16">
      <c r="A57" s="139">
        <v>28</v>
      </c>
      <c r="B57" s="135"/>
      <c r="C57" s="135"/>
      <c r="D57" s="136"/>
      <c r="E57" s="140">
        <f t="shared" si="0"/>
      </c>
    </row>
    <row r="58" spans="1:5" ht="16">
      <c r="A58" s="139">
        <v>29</v>
      </c>
      <c r="B58" s="135"/>
      <c r="C58" s="135"/>
      <c r="D58" s="136"/>
      <c r="E58" s="140">
        <f t="shared" si="0"/>
      </c>
    </row>
    <row r="59" spans="1:5" ht="16">
      <c r="A59" s="139">
        <v>30</v>
      </c>
      <c r="B59" s="135"/>
      <c r="C59" s="135"/>
      <c r="D59" s="136"/>
      <c r="E59" s="140">
        <f t="shared" si="0"/>
      </c>
    </row>
    <row r="60" spans="1:5" ht="16">
      <c r="A60" s="139">
        <v>31</v>
      </c>
      <c r="B60" s="135"/>
      <c r="C60" s="135"/>
      <c r="D60" s="136"/>
      <c r="E60" s="140">
        <f t="shared" si="0"/>
      </c>
    </row>
    <row r="61" spans="1:5" ht="16">
      <c r="A61" s="139">
        <v>32</v>
      </c>
      <c r="B61" s="135"/>
      <c r="C61" s="135"/>
      <c r="D61" s="136"/>
      <c r="E61" s="140">
        <f t="shared" si="0"/>
      </c>
    </row>
    <row r="62" spans="1:5" ht="16">
      <c r="A62" s="139">
        <v>33</v>
      </c>
      <c r="B62" s="135"/>
      <c r="C62" s="135"/>
      <c r="D62" s="136"/>
      <c r="E62" s="140">
        <f t="shared" si="0"/>
      </c>
    </row>
    <row r="63" spans="1:5" ht="16">
      <c r="A63" s="139">
        <v>34</v>
      </c>
      <c r="B63" s="135"/>
      <c r="C63" s="135"/>
      <c r="D63" s="136"/>
      <c r="E63" s="140">
        <f t="shared" si="0"/>
      </c>
    </row>
    <row r="64" spans="1:5" ht="16">
      <c r="A64" s="139">
        <v>35</v>
      </c>
      <c r="B64" s="135"/>
      <c r="C64" s="135"/>
      <c r="D64" s="136"/>
      <c r="E64" s="140">
        <f t="shared" si="0"/>
      </c>
    </row>
    <row r="65" spans="1:5" ht="16">
      <c r="A65" s="139">
        <v>36</v>
      </c>
      <c r="B65" s="135"/>
      <c r="C65" s="135"/>
      <c r="D65" s="136"/>
      <c r="E65" s="140">
        <f t="shared" si="0"/>
      </c>
    </row>
    <row r="66" spans="1:5" ht="16">
      <c r="A66" s="139">
        <v>37</v>
      </c>
      <c r="B66" s="135"/>
      <c r="C66" s="135"/>
      <c r="D66" s="136"/>
      <c r="E66" s="140">
        <f t="shared" si="0"/>
      </c>
    </row>
    <row r="67" spans="1:5" ht="16">
      <c r="A67" s="139">
        <v>38</v>
      </c>
      <c r="B67" s="135"/>
      <c r="C67" s="135"/>
      <c r="D67" s="136"/>
      <c r="E67" s="140">
        <f t="shared" si="0"/>
      </c>
    </row>
    <row r="68" spans="1:5" ht="16">
      <c r="A68" s="139">
        <v>39</v>
      </c>
      <c r="B68" s="135"/>
      <c r="C68" s="135"/>
      <c r="D68" s="136"/>
      <c r="E68" s="140">
        <f t="shared" si="0"/>
      </c>
    </row>
    <row r="69" spans="1:5" ht="16">
      <c r="A69" s="139">
        <v>40</v>
      </c>
      <c r="B69" s="135"/>
      <c r="C69" s="135"/>
      <c r="D69" s="136"/>
      <c r="E69" s="140">
        <f t="shared" si="0"/>
      </c>
    </row>
    <row r="70" spans="1:5" ht="16">
      <c r="A70" s="139">
        <v>41</v>
      </c>
      <c r="B70" s="138"/>
      <c r="C70" s="138"/>
      <c r="D70" s="137"/>
      <c r="E70" s="140">
        <f t="shared" si="0"/>
      </c>
    </row>
    <row r="71" spans="1:5" ht="16">
      <c r="A71" s="139">
        <v>42</v>
      </c>
      <c r="B71" s="138"/>
      <c r="C71" s="138"/>
      <c r="D71" s="137"/>
      <c r="E71" s="140">
        <f t="shared" si="0"/>
      </c>
    </row>
    <row r="72" spans="1:5" ht="16">
      <c r="A72" s="139">
        <v>43</v>
      </c>
      <c r="B72" s="138"/>
      <c r="C72" s="138"/>
      <c r="D72" s="137"/>
      <c r="E72" s="140">
        <f t="shared" si="0"/>
      </c>
    </row>
    <row r="73" spans="1:5" ht="16">
      <c r="A73" s="139">
        <v>44</v>
      </c>
      <c r="B73" s="138"/>
      <c r="C73" s="138"/>
      <c r="D73" s="137"/>
      <c r="E73" s="140">
        <f t="shared" si="0"/>
      </c>
    </row>
    <row r="74" spans="1:5" ht="16">
      <c r="A74" s="139">
        <v>45</v>
      </c>
      <c r="B74" s="138"/>
      <c r="C74" s="138"/>
      <c r="D74" s="137"/>
      <c r="E74" s="140">
        <f t="shared" si="0"/>
      </c>
    </row>
    <row r="75" spans="1:5" ht="16">
      <c r="A75" s="139">
        <v>46</v>
      </c>
      <c r="B75" s="138"/>
      <c r="C75" s="138"/>
      <c r="D75" s="137"/>
      <c r="E75" s="140">
        <f t="shared" si="0"/>
      </c>
    </row>
    <row r="76" spans="1:5" ht="16">
      <c r="A76" s="139">
        <v>47</v>
      </c>
      <c r="B76" s="138"/>
      <c r="C76" s="138"/>
      <c r="D76" s="137"/>
      <c r="E76" s="140">
        <f t="shared" si="0"/>
      </c>
    </row>
    <row r="77" spans="1:5" ht="16">
      <c r="A77" s="139">
        <v>48</v>
      </c>
      <c r="B77" s="138"/>
      <c r="C77" s="138"/>
      <c r="D77" s="137"/>
      <c r="E77" s="140">
        <f t="shared" si="0"/>
      </c>
    </row>
    <row r="78" spans="1:5" ht="16">
      <c r="A78" s="139">
        <v>49</v>
      </c>
      <c r="B78" s="138"/>
      <c r="C78" s="138"/>
      <c r="D78" s="137"/>
      <c r="E78" s="140">
        <f t="shared" si="0"/>
      </c>
    </row>
    <row r="79" spans="1:5" ht="16">
      <c r="A79" s="139">
        <v>50</v>
      </c>
      <c r="B79" s="138"/>
      <c r="C79" s="138"/>
      <c r="D79" s="137"/>
      <c r="E79" s="140">
        <f t="shared" si="0"/>
      </c>
    </row>
    <row r="80" spans="1:5" ht="16">
      <c r="A80" s="139">
        <v>51</v>
      </c>
      <c r="B80" s="138"/>
      <c r="C80" s="138"/>
      <c r="D80" s="137"/>
      <c r="E80" s="140">
        <f t="shared" si="0"/>
      </c>
    </row>
    <row r="81" spans="1:5" ht="16">
      <c r="A81" s="139">
        <v>52</v>
      </c>
      <c r="B81" s="138"/>
      <c r="C81" s="138"/>
      <c r="D81" s="137"/>
      <c r="E81" s="140">
        <f t="shared" si="0"/>
      </c>
    </row>
    <row r="82" spans="1:5" ht="16">
      <c r="A82" s="139">
        <v>53</v>
      </c>
      <c r="B82" s="138"/>
      <c r="C82" s="138"/>
      <c r="D82" s="137"/>
      <c r="E82" s="140">
        <f t="shared" si="0"/>
      </c>
    </row>
    <row r="83" spans="1:5" ht="16">
      <c r="A83" s="139">
        <v>54</v>
      </c>
      <c r="B83" s="138"/>
      <c r="C83" s="138"/>
      <c r="D83" s="137"/>
      <c r="E83" s="140">
        <f t="shared" si="0"/>
      </c>
    </row>
    <row r="84" spans="1:5" ht="16">
      <c r="A84" s="139">
        <v>55</v>
      </c>
      <c r="B84" s="138"/>
      <c r="C84" s="138"/>
      <c r="D84" s="137"/>
      <c r="E84" s="140">
        <f t="shared" si="0"/>
      </c>
    </row>
    <row r="85" spans="1:5" ht="16">
      <c r="A85" s="139">
        <v>56</v>
      </c>
      <c r="B85" s="138"/>
      <c r="C85" s="138"/>
      <c r="D85" s="137"/>
      <c r="E85" s="140">
        <f t="shared" si="0"/>
      </c>
    </row>
    <row r="86" spans="1:5" ht="16">
      <c r="A86" s="139">
        <v>57</v>
      </c>
      <c r="B86" s="138"/>
      <c r="C86" s="138"/>
      <c r="D86" s="137"/>
      <c r="E86" s="140">
        <f t="shared" si="0"/>
      </c>
    </row>
    <row r="87" spans="1:5" ht="16">
      <c r="A87" s="139">
        <v>58</v>
      </c>
      <c r="B87" s="138"/>
      <c r="C87" s="138"/>
      <c r="D87" s="137"/>
      <c r="E87" s="140">
        <f t="shared" si="0"/>
      </c>
    </row>
    <row r="88" spans="1:5" ht="16">
      <c r="A88" s="139">
        <v>59</v>
      </c>
      <c r="B88" s="138"/>
      <c r="C88" s="138"/>
      <c r="D88" s="137"/>
      <c r="E88" s="140">
        <f t="shared" si="0"/>
      </c>
    </row>
    <row r="89" spans="1:5" ht="16">
      <c r="A89" s="139">
        <v>60</v>
      </c>
      <c r="B89" s="138"/>
      <c r="C89" s="138"/>
      <c r="D89" s="137"/>
      <c r="E89" s="140">
        <f t="shared" si="0"/>
      </c>
    </row>
    <row r="90" spans="1:5" ht="16">
      <c r="A90" s="139">
        <v>61</v>
      </c>
      <c r="B90" s="138"/>
      <c r="C90" s="138"/>
      <c r="D90" s="137"/>
      <c r="E90" s="140">
        <f t="shared" si="0"/>
      </c>
    </row>
    <row r="91" spans="1:5" ht="16">
      <c r="A91" s="139">
        <v>62</v>
      </c>
      <c r="B91" s="138"/>
      <c r="C91" s="138"/>
      <c r="D91" s="137"/>
      <c r="E91" s="140">
        <f t="shared" si="0"/>
      </c>
    </row>
    <row r="92" spans="1:5" ht="16">
      <c r="A92" s="139">
        <v>63</v>
      </c>
      <c r="B92" s="138"/>
      <c r="C92" s="138"/>
      <c r="D92" s="137"/>
      <c r="E92" s="140">
        <f t="shared" si="0"/>
      </c>
    </row>
    <row r="93" spans="1:5" ht="16">
      <c r="A93" s="139">
        <v>64</v>
      </c>
      <c r="B93" s="138"/>
      <c r="C93" s="138"/>
      <c r="D93" s="137"/>
      <c r="E93" s="140">
        <f t="shared" si="0"/>
      </c>
    </row>
    <row r="94" spans="1:5" ht="16">
      <c r="A94" s="139">
        <v>65</v>
      </c>
      <c r="B94" s="138"/>
      <c r="C94" s="138"/>
      <c r="D94" s="137"/>
      <c r="E94" s="140">
        <f t="shared" si="0"/>
      </c>
    </row>
    <row r="95" spans="1:5" ht="16">
      <c r="A95" s="139">
        <v>66</v>
      </c>
      <c r="B95" s="138"/>
      <c r="C95" s="138"/>
      <c r="D95" s="137"/>
      <c r="E95" s="140">
        <f t="shared" ref="E95:E112" si="1">IF(ISBLANK(B95),0,IF(C95&lt;2000,RIGHT(C95,2),C95)&amp;"-"&amp;IF(B95="wet","W","D"))</f>
      </c>
    </row>
    <row r="96" spans="1:5" ht="16">
      <c r="A96" s="139">
        <v>67</v>
      </c>
      <c r="B96" s="138"/>
      <c r="C96" s="138"/>
      <c r="D96" s="137"/>
      <c r="E96" s="140">
        <f t="shared" si="1"/>
      </c>
    </row>
    <row r="97" spans="1:5" ht="16">
      <c r="A97" s="139">
        <v>68</v>
      </c>
      <c r="B97" s="138"/>
      <c r="C97" s="138"/>
      <c r="D97" s="137"/>
      <c r="E97" s="140">
        <f t="shared" si="1"/>
      </c>
    </row>
    <row r="98" spans="1:5" ht="16">
      <c r="A98" s="139">
        <v>69</v>
      </c>
      <c r="B98" s="138"/>
      <c r="C98" s="138"/>
      <c r="D98" s="137"/>
      <c r="E98" s="140">
        <f t="shared" si="1"/>
      </c>
    </row>
    <row r="99" spans="1:5" ht="16">
      <c r="A99" s="139">
        <v>70</v>
      </c>
      <c r="B99" s="138"/>
      <c r="C99" s="138"/>
      <c r="D99" s="137"/>
      <c r="E99" s="140">
        <f t="shared" si="1"/>
      </c>
    </row>
    <row r="100" spans="1:5" ht="16">
      <c r="A100" s="139">
        <v>71</v>
      </c>
      <c r="B100" s="138"/>
      <c r="C100" s="138"/>
      <c r="D100" s="137"/>
      <c r="E100" s="140">
        <f t="shared" si="1"/>
      </c>
    </row>
    <row r="101" spans="1:5" ht="16">
      <c r="A101" s="139">
        <v>72</v>
      </c>
      <c r="B101" s="138"/>
      <c r="C101" s="138"/>
      <c r="D101" s="137"/>
      <c r="E101" s="140">
        <f t="shared" si="1"/>
      </c>
    </row>
    <row r="102" spans="1:5" ht="16">
      <c r="A102" s="139">
        <v>73</v>
      </c>
      <c r="B102" s="138"/>
      <c r="C102" s="138"/>
      <c r="D102" s="137"/>
      <c r="E102" s="140">
        <f t="shared" si="1"/>
      </c>
    </row>
    <row r="103" spans="1:5" ht="16">
      <c r="A103" s="139">
        <v>74</v>
      </c>
      <c r="B103" s="138"/>
      <c r="C103" s="138"/>
      <c r="D103" s="137"/>
      <c r="E103" s="140">
        <f t="shared" si="1"/>
      </c>
    </row>
    <row r="104" spans="1:5" ht="16">
      <c r="A104" s="139">
        <v>75</v>
      </c>
      <c r="B104" s="138"/>
      <c r="C104" s="138"/>
      <c r="D104" s="137"/>
      <c r="E104" s="140">
        <f t="shared" si="1"/>
      </c>
    </row>
    <row r="105" spans="1:5" ht="16">
      <c r="A105" s="139">
        <v>76</v>
      </c>
      <c r="B105" s="138"/>
      <c r="C105" s="138"/>
      <c r="D105" s="137"/>
      <c r="E105" s="140">
        <f t="shared" si="1"/>
      </c>
    </row>
    <row r="106" spans="1:5" ht="16">
      <c r="A106" s="139">
        <v>77</v>
      </c>
      <c r="B106" s="138"/>
      <c r="C106" s="138"/>
      <c r="D106" s="137"/>
      <c r="E106" s="140">
        <f t="shared" si="1"/>
      </c>
    </row>
    <row r="107" spans="1:5" ht="16">
      <c r="A107" s="139">
        <v>78</v>
      </c>
      <c r="B107" s="138"/>
      <c r="C107" s="138"/>
      <c r="D107" s="137"/>
      <c r="E107" s="140">
        <f t="shared" si="1"/>
      </c>
    </row>
    <row r="108" spans="1:5" ht="16">
      <c r="A108" s="139">
        <v>79</v>
      </c>
      <c r="B108" s="138"/>
      <c r="C108" s="138"/>
      <c r="D108" s="137"/>
      <c r="E108" s="140">
        <f t="shared" si="1"/>
      </c>
    </row>
    <row r="109" spans="1:5" ht="16">
      <c r="A109" s="139">
        <v>80</v>
      </c>
      <c r="B109" s="138"/>
      <c r="C109" s="138"/>
      <c r="D109" s="137"/>
      <c r="E109" s="140">
        <f t="shared" si="1"/>
      </c>
    </row>
    <row r="110" spans="1:5" ht="16">
      <c r="A110" s="139">
        <v>81</v>
      </c>
      <c r="B110" s="138"/>
      <c r="C110" s="138"/>
      <c r="D110" s="137"/>
      <c r="E110" s="140">
        <f t="shared" si="1"/>
      </c>
    </row>
    <row r="111" spans="1:5" ht="16">
      <c r="A111" s="139">
        <v>82</v>
      </c>
      <c r="B111" s="138"/>
      <c r="C111" s="138"/>
      <c r="D111" s="137"/>
      <c r="E111" s="140">
        <f t="shared" si="1"/>
      </c>
    </row>
    <row r="112" spans="1:5" ht="17" thickBot="1">
      <c r="A112" s="141">
        <v>83</v>
      </c>
      <c r="B112" s="142"/>
      <c r="C112" s="142"/>
      <c r="D112" s="143"/>
      <c r="E112" s="144">
        <f t="shared" si="1"/>
      </c>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9428-7EB7-473C-B3EA-18AB51978139}">
  <sheetPr/>
  <sheetViews>
    <sheetView view="pageBreakPreview" zoomScale="70" zoomScaleNormal="100" zoomScaleSheetLayoutView="7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21"/>
      <c r="B1" s="221"/>
      <c r="C1" s="221"/>
      <c r="D1" s="221"/>
      <c r="E1" s="221"/>
      <c r="F1" s="221"/>
      <c r="G1" s="221"/>
    </row>
    <row r="2" spans="1:7" ht="23">
      <c r="A2" s="222"/>
      <c r="B2" s="222"/>
      <c r="C2" s="222"/>
      <c r="D2" s="222"/>
      <c r="E2" s="222"/>
      <c r="F2" s="222"/>
      <c r="G2" s="222"/>
    </row>
    <row r="3" spans="1:7">
      <c r="A3" s="223"/>
      <c r="B3" s="223"/>
      <c r="C3" s="223"/>
      <c r="D3" s="223"/>
      <c r="E3" s="223"/>
      <c r="F3" s="223"/>
      <c r="G3" s="223"/>
    </row>
    <row r="4" spans="1:7" ht="16">
      <c r="A4" s="224"/>
      <c r="B4" s="224"/>
      <c r="C4" s="224"/>
      <c r="D4" s="224"/>
      <c r="E4" s="224"/>
      <c r="F4" s="224"/>
      <c r="G4" s="224"/>
    </row>
    <row r="5" spans="1:7">
      <c r="A5" s="225"/>
      <c r="B5" s="225"/>
      <c r="C5" s="225"/>
      <c r="D5" s="225"/>
      <c r="E5" s="225"/>
      <c r="F5" s="225"/>
      <c r="G5" s="225"/>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t="s" s="202">
        <v>0</v>
      </c>
      <c r="B11" s="202"/>
      <c r="C11" s="202"/>
      <c r="D11" s="202"/>
      <c r="E11" s="202"/>
      <c r="F11" s="202"/>
      <c r="G11" s="202"/>
    </row>
    <row r="12" spans="1:7">
      <c r="A12" s="209">
        <f ca="1">"as of "&amp;TEXT(TODAY(),"mmmm dd, yyyy")</f>
      </c>
      <c r="B12" s="209"/>
      <c r="C12" s="209"/>
      <c r="D12" s="209"/>
      <c r="E12" s="209"/>
      <c r="F12" s="209"/>
      <c r="G12" s="209"/>
    </row>
    <row r="13" spans="1:7">
      <c r="A13" s="210"/>
      <c r="B13" s="210"/>
      <c r="C13" s="6"/>
      <c r="D13" s="7"/>
      <c r="E13" s="4"/>
      <c r="F13" s="7"/>
      <c r="G13" s="7"/>
    </row>
    <row r="14" spans="1:7" ht="20">
      <c r="A14" t="s" s="211">
        <v>1</v>
      </c>
      <c r="B14" s="211"/>
      <c r="C14" s="8"/>
      <c r="D14" s="9"/>
      <c r="E14" s="10"/>
      <c r="F14" t="s" s="11">
        <v>2</v>
      </c>
      <c r="G14" s="12">
        <f>'00 ACC DETAILS 04'!C4&amp;" - "&amp;'00 ACC DETAILS 04'!C5</f>
      </c>
    </row>
    <row r="15" spans="1:7" ht="20">
      <c r="A15" t="s" s="10">
        <v>3</v>
      </c>
      <c r="B15" s="13"/>
      <c r="C15" s="14">
        <f>'00 ACC DETAILS 04'!C3</f>
      </c>
      <c r="D15" s="9"/>
      <c r="E15" s="10"/>
      <c r="F15" t="s" s="11">
        <v>4</v>
      </c>
      <c cm="1" r="G15" s="15">
        <f t="array" ref="G15">IFERROR(0,LOOKUP(2,1/(A19:A101),A19:A101))</f>
      </c>
    </row>
    <row r="16" spans="1:7">
      <c r="A16" t="s" s="10">
        <v>5</v>
      </c>
      <c r="B16" s="16"/>
      <c r="C16" s="17">
        <f>IF(ISBLANK('00 ACC DETAILS 01'!C8),'00 ACC DETAILS 01'!C7&amp;" "&amp;'00 ACC DETAILS 01'!C9,'00 ACC DETAILS 01'!C7&amp;" "&amp;'00 ACC DETAILS 01'!C8&amp;" "&amp;'00 ACC DETAILS 01'!C9)</f>
      </c>
      <c r="D16" s="17"/>
      <c r="E16" t="s" s="10">
        <v>6</v>
      </c>
      <c r="F16" s="212"/>
      <c r="G16" s="212"/>
    </row>
    <row r="17" spans="1:7" ht="16" thickBot="1">
      <c r="A17" t="s" s="10">
        <v>288</v>
      </c>
      <c r="B17" s="10"/>
      <c r="C17" s="17">
        <f>IF(ISBLANK('00 ACC DETAILS 04'!C12),'00 ACC DETAILS 04'!C11&amp;" "&amp;'00 ACC DETAILS 04'!C13,'00 ACC DETAILS 04'!C11&amp;" "&amp;'00 ACC DETAILS 04'!C12&amp;" "&amp;'00 ACC DETAILS 04'!C13)</f>
      </c>
      <c r="D17" s="18"/>
      <c r="E17" t="s" s="10">
        <v>6</v>
      </c>
      <c r="F17" s="212"/>
      <c r="G17" s="212"/>
    </row>
    <row r="18" spans="1:7" ht="16" thickBot="1">
      <c r="A18" t="s" s="19">
        <v>7</v>
      </c>
      <c r="B18" t="s" s="20">
        <v>8</v>
      </c>
      <c r="C18" t="s" s="20">
        <v>9</v>
      </c>
      <c r="D18" t="s" s="20">
        <v>10</v>
      </c>
      <c r="E18" t="s" s="21">
        <v>11</v>
      </c>
      <c r="F18" t="s" s="20">
        <v>12</v>
      </c>
      <c r="G18" t="s" s="20">
        <v>13</v>
      </c>
    </row>
    <row r="19" spans="1:7">
      <c r="A19" s="133">
        <f>IFERROR((LOOKUP(MATCH(B19,'00 ACC DETAILS 04'!$E$30:$E$112,0),'00 ACC DETAILS 04'!$A$30:$A$112,'00 ACC DETAILS 04'!$D$30:$D$112)),0)</f>
      </c>
      <c r="B19" t="s" s="22">
        <v>14</v>
      </c>
      <c r="C19" s="23">
        <f>15*100</f>
      </c>
      <c r="D19" s="23">
        <f t="shared" ref="D19:D82" si="0">A19*C19</f>
      </c>
      <c r="E19" s="24">
        <f>E21+12</f>
      </c>
      <c r="F19" s="25">
        <f t="shared" ref="F19:F82" si="1">D19*E19/100</f>
      </c>
      <c r="G19" s="26">
        <f t="shared" ref="G19:G82" si="2">D19+F19</f>
      </c>
    </row>
    <row r="20" spans="1:7">
      <c r="A20" s="133">
        <f>IFERROR((LOOKUP(MATCH(B20,'00 ACC DETAILS 04'!$E$30:$E$112,0),'00 ACC DETAILS 04'!$A$30:$A$112,'00 ACC DETAILS 04'!$D$30:$D$112)),0)</f>
      </c>
      <c r="B20" t="s" s="27">
        <v>15</v>
      </c>
      <c r="C20" s="28">
        <f>15*150</f>
      </c>
      <c r="D20" s="23">
        <f t="shared" si="0"/>
      </c>
      <c r="E20" s="29">
        <f>E22+12</f>
      </c>
      <c r="F20" s="25">
        <f t="shared" si="1"/>
      </c>
      <c r="G20" s="26">
        <f t="shared" si="2"/>
      </c>
    </row>
    <row r="21" spans="1:7">
      <c r="A21" s="133">
        <f>IFERROR((LOOKUP(MATCH(B21,'00 ACC DETAILS 04'!$E$30:$E$112,0),'00 ACC DETAILS 04'!$A$30:$A$112,'00 ACC DETAILS 04'!$D$30:$D$112)),0)</f>
      </c>
      <c r="B21" t="s" s="27">
        <v>16</v>
      </c>
      <c r="C21" s="28">
        <f t="shared" ref="C21:C63" si="3">C19</f>
      </c>
      <c r="D21" s="23">
        <f t="shared" si="0"/>
      </c>
      <c r="E21" s="29">
        <f>E22+12</f>
      </c>
      <c r="F21" s="25">
        <f t="shared" si="1"/>
      </c>
      <c r="G21" s="26">
        <f t="shared" si="2"/>
      </c>
    </row>
    <row r="22" spans="1:7">
      <c r="A22" s="133">
        <f>IFERROR((LOOKUP(MATCH(B22,'00 ACC DETAILS 04'!$E$30:$E$112,0),'00 ACC DETAILS 04'!$A$30:$A$112,'00 ACC DETAILS 04'!$D$30:$D$112)),0)</f>
      </c>
      <c r="B22" t="s" s="27">
        <v>17</v>
      </c>
      <c r="C22" s="28">
        <f t="shared" si="3"/>
      </c>
      <c r="D22" s="23">
        <f t="shared" si="0"/>
      </c>
      <c r="E22" s="29">
        <f>E24+12</f>
      </c>
      <c r="F22" s="25">
        <f t="shared" si="1"/>
      </c>
      <c r="G22" s="26">
        <f t="shared" si="2"/>
      </c>
    </row>
    <row r="23" spans="1:7">
      <c r="A23" s="133">
        <f>IFERROR((LOOKUP(MATCH(B23,'00 ACC DETAILS 04'!$E$30:$E$112,0),'00 ACC DETAILS 04'!$A$30:$A$112,'00 ACC DETAILS 04'!$D$30:$D$112)),0)</f>
      </c>
      <c r="B23" t="s" s="27">
        <v>18</v>
      </c>
      <c r="C23" s="28">
        <f t="shared" si="3"/>
      </c>
      <c r="D23" s="23">
        <f t="shared" si="0"/>
      </c>
      <c r="E23" s="29">
        <f>E24+12</f>
      </c>
      <c r="F23" s="25">
        <f t="shared" si="1"/>
      </c>
      <c r="G23" s="26">
        <f t="shared" si="2"/>
      </c>
    </row>
    <row r="24" spans="1:7">
      <c r="A24" s="133">
        <f>IFERROR((LOOKUP(MATCH(B24,'00 ACC DETAILS 04'!$E$30:$E$112,0),'00 ACC DETAILS 04'!$A$30:$A$112,'00 ACC DETAILS 04'!$D$30:$D$112)),0)</f>
      </c>
      <c r="B24" t="s" s="27">
        <v>19</v>
      </c>
      <c r="C24" s="28">
        <f t="shared" si="3"/>
      </c>
      <c r="D24" s="23">
        <f t="shared" si="0"/>
      </c>
      <c r="E24" s="29">
        <f>E26+6</f>
      </c>
      <c r="F24" s="25">
        <f t="shared" si="1"/>
      </c>
      <c r="G24" s="26">
        <f t="shared" si="2"/>
      </c>
    </row>
    <row r="25" spans="1:7">
      <c r="A25" s="133">
        <f>IFERROR((LOOKUP(MATCH(B25,'00 ACC DETAILS 04'!$E$30:$E$112,0),'00 ACC DETAILS 04'!$A$30:$A$112,'00 ACC DETAILS 04'!$D$30:$D$112)),0)</f>
      </c>
      <c r="B25" t="s" s="27">
        <v>20</v>
      </c>
      <c r="C25" s="28">
        <f t="shared" si="3"/>
      </c>
      <c r="D25" s="23">
        <f t="shared" si="0"/>
      </c>
      <c r="E25" s="29">
        <f t="shared" ref="E25:E88" si="4">E26+6</f>
      </c>
      <c r="F25" s="25">
        <f t="shared" si="1"/>
      </c>
      <c r="G25" s="26">
        <f t="shared" si="2"/>
      </c>
    </row>
    <row r="26" spans="1:7">
      <c r="A26" s="133">
        <f>IFERROR((LOOKUP(MATCH(B26,'00 ACC DETAILS 04'!$E$30:$E$112,0),'00 ACC DETAILS 04'!$A$30:$A$112,'00 ACC DETAILS 04'!$D$30:$D$112)),0)</f>
      </c>
      <c r="B26" t="s" s="27">
        <v>21</v>
      </c>
      <c r="C26" s="28">
        <f t="shared" si="3"/>
      </c>
      <c r="D26" s="23">
        <f t="shared" si="0"/>
      </c>
      <c r="E26" s="29">
        <f t="shared" si="4"/>
      </c>
      <c r="F26" s="25">
        <f t="shared" si="1"/>
      </c>
      <c r="G26" s="26">
        <f t="shared" si="2"/>
      </c>
    </row>
    <row r="27" spans="1:7">
      <c r="A27" s="133">
        <f>IFERROR((LOOKUP(MATCH(B27,'00 ACC DETAILS 04'!$E$30:$E$112,0),'00 ACC DETAILS 04'!$A$30:$A$112,'00 ACC DETAILS 04'!$D$30:$D$112)),0)</f>
      </c>
      <c r="B27" t="s" s="30">
        <v>22</v>
      </c>
      <c r="C27" s="28">
        <f t="shared" si="3"/>
      </c>
      <c r="D27" s="23">
        <f t="shared" si="0"/>
      </c>
      <c r="E27" s="29">
        <f t="shared" si="4"/>
      </c>
      <c r="F27" s="25">
        <f t="shared" si="1"/>
      </c>
      <c r="G27" s="26">
        <f t="shared" si="2"/>
      </c>
    </row>
    <row r="28" spans="1:7">
      <c r="A28" s="133">
        <f>IFERROR((LOOKUP(MATCH(B28,'00 ACC DETAILS 04'!$E$30:$E$112,0),'00 ACC DETAILS 04'!$A$30:$A$112,'00 ACC DETAILS 04'!$D$30:$D$112)),0)</f>
      </c>
      <c r="B28" t="s" s="30">
        <v>23</v>
      </c>
      <c r="C28" s="28">
        <f t="shared" si="3"/>
      </c>
      <c r="D28" s="23">
        <f t="shared" si="0"/>
      </c>
      <c r="E28" s="29">
        <f t="shared" si="4"/>
      </c>
      <c r="F28" s="25">
        <f t="shared" si="1"/>
      </c>
      <c r="G28" s="26">
        <f t="shared" si="2"/>
      </c>
    </row>
    <row r="29" spans="1:7">
      <c r="A29" s="133">
        <f>IFERROR((LOOKUP(MATCH(B29,'00 ACC DETAILS 04'!$E$30:$E$112,0),'00 ACC DETAILS 04'!$A$30:$A$112,'00 ACC DETAILS 04'!$D$30:$D$112)),0)</f>
      </c>
      <c r="B29" t="s" s="30">
        <v>24</v>
      </c>
      <c r="C29" s="28">
        <f t="shared" si="3"/>
      </c>
      <c r="D29" s="23">
        <f t="shared" si="0"/>
      </c>
      <c r="E29" s="29">
        <f t="shared" si="4"/>
      </c>
      <c r="F29" s="25">
        <f t="shared" si="1"/>
      </c>
      <c r="G29" s="26">
        <f t="shared" si="2"/>
      </c>
    </row>
    <row r="30" spans="1:7">
      <c r="A30" s="133">
        <f>IFERROR((LOOKUP(MATCH(B30,'00 ACC DETAILS 04'!$E$30:$E$112,0),'00 ACC DETAILS 04'!$A$30:$A$112,'00 ACC DETAILS 04'!$D$30:$D$112)),0)</f>
      </c>
      <c r="B30" t="s" s="30">
        <v>25</v>
      </c>
      <c r="C30" s="28">
        <f t="shared" si="3"/>
      </c>
      <c r="D30" s="23">
        <f t="shared" si="0"/>
      </c>
      <c r="E30" s="29">
        <f t="shared" si="4"/>
      </c>
      <c r="F30" s="25">
        <f t="shared" si="1"/>
      </c>
      <c r="G30" s="26">
        <f t="shared" si="2"/>
      </c>
    </row>
    <row r="31" spans="1:7">
      <c r="A31" s="133">
        <f>IFERROR((LOOKUP(MATCH(B31,'00 ACC DETAILS 04'!$E$30:$E$112,0),'00 ACC DETAILS 04'!$A$30:$A$112,'00 ACC DETAILS 04'!$D$30:$D$112)),0)</f>
      </c>
      <c r="B31" t="s" s="30">
        <v>26</v>
      </c>
      <c r="C31" s="28">
        <f t="shared" si="3"/>
      </c>
      <c r="D31" s="23">
        <f t="shared" si="0"/>
      </c>
      <c r="E31" s="29">
        <f t="shared" si="4"/>
      </c>
      <c r="F31" s="25">
        <f t="shared" si="1"/>
      </c>
      <c r="G31" s="26">
        <f t="shared" si="2"/>
      </c>
    </row>
    <row r="32" spans="1:7">
      <c r="A32" s="133">
        <f>IFERROR((LOOKUP(MATCH(B32,'00 ACC DETAILS 04'!$E$30:$E$112,0),'00 ACC DETAILS 04'!$A$30:$A$112,'00 ACC DETAILS 04'!$D$30:$D$112)),0)</f>
      </c>
      <c r="B32" t="s" s="30">
        <v>27</v>
      </c>
      <c r="C32" s="28">
        <f t="shared" si="3"/>
      </c>
      <c r="D32" s="23">
        <f t="shared" si="0"/>
      </c>
      <c r="E32" s="29">
        <f t="shared" si="4"/>
      </c>
      <c r="F32" s="25">
        <f t="shared" si="1"/>
      </c>
      <c r="G32" s="26">
        <f t="shared" si="2"/>
      </c>
    </row>
    <row r="33" spans="1:7">
      <c r="A33" s="133">
        <f>IFERROR((LOOKUP(MATCH(B33,'00 ACC DETAILS 04'!$E$30:$E$112,0),'00 ACC DETAILS 04'!$A$30:$A$112,'00 ACC DETAILS 04'!$D$30:$D$112)),0)</f>
      </c>
      <c r="B33" t="s" s="30">
        <v>28</v>
      </c>
      <c r="C33" s="28">
        <f t="shared" si="3"/>
      </c>
      <c r="D33" s="23">
        <f t="shared" si="0"/>
      </c>
      <c r="E33" s="29">
        <f t="shared" si="4"/>
      </c>
      <c r="F33" s="25">
        <f t="shared" si="1"/>
      </c>
      <c r="G33" s="26">
        <f t="shared" si="2"/>
      </c>
    </row>
    <row r="34" spans="1:7">
      <c r="A34" s="133">
        <f>IFERROR((LOOKUP(MATCH(B34,'00 ACC DETAILS 04'!$E$30:$E$112,0),'00 ACC DETAILS 04'!$A$30:$A$112,'00 ACC DETAILS 04'!$D$30:$D$112)),0)</f>
      </c>
      <c r="B34" t="s" s="30">
        <v>29</v>
      </c>
      <c r="C34" s="28">
        <f t="shared" si="3"/>
      </c>
      <c r="D34" s="23">
        <f t="shared" si="0"/>
      </c>
      <c r="E34" s="29">
        <f t="shared" si="4"/>
      </c>
      <c r="F34" s="25">
        <f t="shared" si="1"/>
      </c>
      <c r="G34" s="26">
        <f t="shared" si="2"/>
      </c>
    </row>
    <row r="35" spans="1:7">
      <c r="A35" s="133">
        <f>IFERROR((LOOKUP(MATCH(B35,'00 ACC DETAILS 04'!$E$30:$E$112,0),'00 ACC DETAILS 04'!$A$30:$A$112,'00 ACC DETAILS 04'!$D$30:$D$112)),0)</f>
      </c>
      <c r="B35" t="s" s="30">
        <v>30</v>
      </c>
      <c r="C35" s="28">
        <f t="shared" si="3"/>
      </c>
      <c r="D35" s="23">
        <f t="shared" si="0"/>
      </c>
      <c r="E35" s="29">
        <f t="shared" si="4"/>
      </c>
      <c r="F35" s="25">
        <f t="shared" si="1"/>
      </c>
      <c r="G35" s="26">
        <f t="shared" si="2"/>
      </c>
    </row>
    <row r="36" spans="1:7">
      <c r="A36" s="133">
        <f>IFERROR((LOOKUP(MATCH(B36,'00 ACC DETAILS 04'!$E$30:$E$112,0),'00 ACC DETAILS 04'!$A$30:$A$112,'00 ACC DETAILS 04'!$D$30:$D$112)),0)</f>
      </c>
      <c r="B36" t="s" s="30">
        <v>31</v>
      </c>
      <c r="C36" s="28">
        <f t="shared" si="3"/>
      </c>
      <c r="D36" s="23">
        <f t="shared" si="0"/>
      </c>
      <c r="E36" s="29">
        <f t="shared" si="4"/>
      </c>
      <c r="F36" s="25">
        <f t="shared" si="1"/>
      </c>
      <c r="G36" s="26">
        <f t="shared" si="2"/>
      </c>
    </row>
    <row r="37" spans="1:7">
      <c r="A37" s="133">
        <f>IFERROR((LOOKUP(MATCH(B37,'00 ACC DETAILS 04'!$E$30:$E$112,0),'00 ACC DETAILS 04'!$A$30:$A$112,'00 ACC DETAILS 04'!$D$30:$D$112)),0)</f>
      </c>
      <c r="B37" t="s" s="30">
        <v>32</v>
      </c>
      <c r="C37" s="28">
        <f t="shared" si="3"/>
      </c>
      <c r="D37" s="23">
        <f t="shared" si="0"/>
      </c>
      <c r="E37" s="29">
        <f t="shared" si="4"/>
      </c>
      <c r="F37" s="25">
        <f t="shared" si="1"/>
      </c>
      <c r="G37" s="26">
        <f t="shared" si="2"/>
      </c>
    </row>
    <row r="38" spans="1:7">
      <c r="A38" s="133">
        <f>IFERROR((LOOKUP(MATCH(B38,'00 ACC DETAILS 04'!$E$30:$E$112,0),'00 ACC DETAILS 04'!$A$30:$A$112,'00 ACC DETAILS 04'!$D$30:$D$112)),0)</f>
      </c>
      <c r="B38" t="s" s="30">
        <v>33</v>
      </c>
      <c r="C38" s="28">
        <f t="shared" si="3"/>
      </c>
      <c r="D38" s="23">
        <f t="shared" si="0"/>
      </c>
      <c r="E38" s="29">
        <f t="shared" si="4"/>
      </c>
      <c r="F38" s="25">
        <f t="shared" si="1"/>
      </c>
      <c r="G38" s="26">
        <f t="shared" si="2"/>
      </c>
    </row>
    <row r="39" spans="1:7">
      <c r="A39" s="133">
        <f>IFERROR((LOOKUP(MATCH(B39,'00 ACC DETAILS 04'!$E$30:$E$112,0),'00 ACC DETAILS 04'!$A$30:$A$112,'00 ACC DETAILS 04'!$D$30:$D$112)),0)</f>
      </c>
      <c r="B39" t="s" s="30">
        <v>34</v>
      </c>
      <c r="C39" s="28">
        <f t="shared" si="3"/>
      </c>
      <c r="D39" s="23">
        <f t="shared" si="0"/>
      </c>
      <c r="E39" s="29">
        <f t="shared" si="4"/>
      </c>
      <c r="F39" s="25">
        <f t="shared" si="1"/>
      </c>
      <c r="G39" s="26">
        <f t="shared" si="2"/>
      </c>
    </row>
    <row r="40" spans="1:7">
      <c r="A40" s="133">
        <f>IFERROR((LOOKUP(MATCH(B40,'00 ACC DETAILS 04'!$E$30:$E$112,0),'00 ACC DETAILS 04'!$A$30:$A$112,'00 ACC DETAILS 04'!$D$30:$D$112)),0)</f>
      </c>
      <c r="B40" t="s" s="30">
        <v>35</v>
      </c>
      <c r="C40" s="28">
        <f t="shared" si="3"/>
      </c>
      <c r="D40" s="23">
        <f t="shared" si="0"/>
      </c>
      <c r="E40" s="29">
        <f t="shared" si="4"/>
      </c>
      <c r="F40" s="25">
        <f t="shared" si="1"/>
      </c>
      <c r="G40" s="26">
        <f t="shared" si="2"/>
      </c>
    </row>
    <row r="41" spans="1:7">
      <c r="A41" s="133">
        <f>IFERROR((LOOKUP(MATCH(B41,'00 ACC DETAILS 04'!$E$30:$E$112,0),'00 ACC DETAILS 04'!$A$30:$A$112,'00 ACC DETAILS 04'!$D$30:$D$112)),0)</f>
      </c>
      <c r="B41" t="s" s="30">
        <v>36</v>
      </c>
      <c r="C41" s="28">
        <f t="shared" si="3"/>
      </c>
      <c r="D41" s="23">
        <f t="shared" si="0"/>
      </c>
      <c r="E41" s="29">
        <f t="shared" si="4"/>
      </c>
      <c r="F41" s="25">
        <f t="shared" si="1"/>
      </c>
      <c r="G41" s="26">
        <f t="shared" si="2"/>
      </c>
    </row>
    <row r="42" spans="1:7">
      <c r="A42" s="133">
        <f>IFERROR((LOOKUP(MATCH(B42,'00 ACC DETAILS 04'!$E$30:$E$112,0),'00 ACC DETAILS 04'!$A$30:$A$112,'00 ACC DETAILS 04'!$D$30:$D$112)),0)</f>
      </c>
      <c r="B42" t="s" s="30">
        <v>37</v>
      </c>
      <c r="C42" s="28">
        <f t="shared" si="3"/>
      </c>
      <c r="D42" s="23">
        <f t="shared" si="0"/>
      </c>
      <c r="E42" s="29">
        <f t="shared" si="4"/>
      </c>
      <c r="F42" s="25">
        <f t="shared" si="1"/>
      </c>
      <c r="G42" s="26">
        <f t="shared" si="2"/>
      </c>
    </row>
    <row r="43" spans="1:7">
      <c r="A43" s="133">
        <f>IFERROR((LOOKUP(MATCH(B43,'00 ACC DETAILS 04'!$E$30:$E$112,0),'00 ACC DETAILS 04'!$A$30:$A$112,'00 ACC DETAILS 04'!$D$30:$D$112)),0)</f>
      </c>
      <c r="B43" t="s" s="30">
        <v>38</v>
      </c>
      <c r="C43" s="28">
        <f t="shared" si="3"/>
      </c>
      <c r="D43" s="23">
        <f t="shared" si="0"/>
      </c>
      <c r="E43" s="29">
        <f t="shared" si="4"/>
      </c>
      <c r="F43" s="25">
        <f t="shared" si="1"/>
      </c>
      <c r="G43" s="26">
        <f t="shared" si="2"/>
      </c>
    </row>
    <row r="44" spans="1:7">
      <c r="A44" s="133">
        <f>IFERROR((LOOKUP(MATCH(B44,'00 ACC DETAILS 04'!$E$30:$E$112,0),'00 ACC DETAILS 04'!$A$30:$A$112,'00 ACC DETAILS 04'!$D$30:$D$112)),0)</f>
      </c>
      <c r="B44" t="s" s="30">
        <v>39</v>
      </c>
      <c r="C44" s="28">
        <f t="shared" si="3"/>
      </c>
      <c r="D44" s="23">
        <f t="shared" si="0"/>
      </c>
      <c r="E44" s="29">
        <f t="shared" si="4"/>
      </c>
      <c r="F44" s="25">
        <f t="shared" si="1"/>
      </c>
      <c r="G44" s="26">
        <f t="shared" si="2"/>
      </c>
    </row>
    <row r="45" spans="1:7">
      <c r="A45" s="133">
        <f>IFERROR((LOOKUP(MATCH(B45,'00 ACC DETAILS 04'!$E$30:$E$112,0),'00 ACC DETAILS 04'!$A$30:$A$112,'00 ACC DETAILS 04'!$D$30:$D$112)),0)</f>
      </c>
      <c r="B45" t="s" s="30">
        <v>40</v>
      </c>
      <c r="C45" s="28">
        <f t="shared" si="3"/>
      </c>
      <c r="D45" s="23">
        <f t="shared" si="0"/>
      </c>
      <c r="E45" s="29">
        <f t="shared" si="4"/>
      </c>
      <c r="F45" s="25">
        <f t="shared" si="1"/>
      </c>
      <c r="G45" s="26">
        <f t="shared" si="2"/>
      </c>
    </row>
    <row r="46" spans="1:7">
      <c r="A46" s="133">
        <f>IFERROR((LOOKUP(MATCH(B46,'00 ACC DETAILS 04'!$E$30:$E$112,0),'00 ACC DETAILS 04'!$A$30:$A$112,'00 ACC DETAILS 04'!$D$30:$D$112)),0)</f>
      </c>
      <c r="B46" t="s" s="30">
        <v>41</v>
      </c>
      <c r="C46" s="28">
        <f t="shared" si="3"/>
      </c>
      <c r="D46" s="23">
        <f t="shared" si="0"/>
      </c>
      <c r="E46" s="29">
        <f t="shared" si="4"/>
      </c>
      <c r="F46" s="25">
        <f t="shared" si="1"/>
      </c>
      <c r="G46" s="26">
        <f t="shared" si="2"/>
      </c>
    </row>
    <row r="47" spans="1:7">
      <c r="A47" s="133">
        <f>IFERROR((LOOKUP(MATCH(B47,'00 ACC DETAILS 04'!$E$30:$E$112,0),'00 ACC DETAILS 04'!$A$30:$A$112,'00 ACC DETAILS 04'!$D$30:$D$112)),0)</f>
      </c>
      <c r="B47" t="s" s="30">
        <v>42</v>
      </c>
      <c r="C47" s="28">
        <f t="shared" si="3"/>
      </c>
      <c r="D47" s="23">
        <f t="shared" si="0"/>
      </c>
      <c r="E47" s="29">
        <f t="shared" si="4"/>
      </c>
      <c r="F47" s="25">
        <f t="shared" si="1"/>
      </c>
      <c r="G47" s="26">
        <f t="shared" si="2"/>
      </c>
    </row>
    <row r="48" spans="1:7">
      <c r="A48" s="133">
        <f>IFERROR((LOOKUP(MATCH(B48,'00 ACC DETAILS 04'!$E$30:$E$112,0),'00 ACC DETAILS 04'!$A$30:$A$112,'00 ACC DETAILS 04'!$D$30:$D$112)),0)</f>
      </c>
      <c r="B48" t="s" s="30">
        <v>43</v>
      </c>
      <c r="C48" s="28">
        <f t="shared" si="3"/>
      </c>
      <c r="D48" s="23">
        <f t="shared" si="0"/>
      </c>
      <c r="E48" s="29">
        <f t="shared" si="4"/>
      </c>
      <c r="F48" s="25">
        <f t="shared" si="1"/>
      </c>
      <c r="G48" s="26">
        <f t="shared" si="2"/>
      </c>
    </row>
    <row r="49" spans="1:7">
      <c r="A49" s="133">
        <f>IFERROR((LOOKUP(MATCH(B49,'00 ACC DETAILS 04'!$E$30:$E$112,0),'00 ACC DETAILS 04'!$A$30:$A$112,'00 ACC DETAILS 04'!$D$30:$D$112)),0)</f>
      </c>
      <c r="B49" t="s" s="30">
        <v>44</v>
      </c>
      <c r="C49" s="28">
        <f t="shared" si="3"/>
      </c>
      <c r="D49" s="23">
        <f t="shared" si="0"/>
      </c>
      <c r="E49" s="29">
        <f t="shared" si="4"/>
      </c>
      <c r="F49" s="25">
        <f t="shared" si="1"/>
      </c>
      <c r="G49" s="26">
        <f t="shared" si="2"/>
      </c>
    </row>
    <row r="50" spans="1:7">
      <c r="A50" s="133">
        <f>IFERROR((LOOKUP(MATCH(B50,'00 ACC DETAILS 04'!$E$30:$E$112,0),'00 ACC DETAILS 04'!$A$30:$A$112,'00 ACC DETAILS 04'!$D$30:$D$112)),0)</f>
      </c>
      <c r="B50" t="s" s="30">
        <v>45</v>
      </c>
      <c r="C50" s="28">
        <f t="shared" si="3"/>
      </c>
      <c r="D50" s="23">
        <f t="shared" si="0"/>
      </c>
      <c r="E50" s="29">
        <f t="shared" si="4"/>
      </c>
      <c r="F50" s="25">
        <f t="shared" si="1"/>
      </c>
      <c r="G50" s="26">
        <f t="shared" si="2"/>
      </c>
    </row>
    <row r="51" spans="1:7">
      <c r="A51" s="133">
        <f>IFERROR((LOOKUP(MATCH(B51,'00 ACC DETAILS 04'!$E$30:$E$112,0),'00 ACC DETAILS 04'!$A$30:$A$112,'00 ACC DETAILS 04'!$D$30:$D$112)),0)</f>
      </c>
      <c r="B51" t="s" s="30">
        <v>46</v>
      </c>
      <c r="C51" s="28">
        <f t="shared" si="3"/>
      </c>
      <c r="D51" s="23">
        <f t="shared" si="0"/>
      </c>
      <c r="E51" s="29">
        <f t="shared" si="4"/>
      </c>
      <c r="F51" s="25">
        <f t="shared" si="1"/>
      </c>
      <c r="G51" s="26">
        <f t="shared" si="2"/>
      </c>
    </row>
    <row r="52" spans="1:7">
      <c r="A52" s="133">
        <f>IFERROR((LOOKUP(MATCH(B52,'00 ACC DETAILS 04'!$E$30:$E$112,0),'00 ACC DETAILS 04'!$A$30:$A$112,'00 ACC DETAILS 04'!$D$30:$D$112)),0)</f>
      </c>
      <c r="B52" t="s" s="30">
        <v>47</v>
      </c>
      <c r="C52" s="28">
        <f t="shared" si="3"/>
      </c>
      <c r="D52" s="23">
        <f t="shared" si="0"/>
      </c>
      <c r="E52" s="29">
        <f t="shared" si="4"/>
      </c>
      <c r="F52" s="25">
        <f t="shared" si="1"/>
      </c>
      <c r="G52" s="26">
        <f t="shared" si="2"/>
      </c>
    </row>
    <row r="53" spans="1:7">
      <c r="A53" s="133">
        <f>IFERROR((LOOKUP(MATCH(B53,'00 ACC DETAILS 04'!$E$30:$E$112,0),'00 ACC DETAILS 04'!$A$30:$A$112,'00 ACC DETAILS 04'!$D$30:$D$112)),0)</f>
      </c>
      <c r="B53" t="s" s="30">
        <v>48</v>
      </c>
      <c r="C53" s="28">
        <f t="shared" si="3"/>
      </c>
      <c r="D53" s="23">
        <f t="shared" si="0"/>
      </c>
      <c r="E53" s="29">
        <f t="shared" si="4"/>
      </c>
      <c r="F53" s="25">
        <f t="shared" si="1"/>
      </c>
      <c r="G53" s="26">
        <f t="shared" si="2"/>
      </c>
    </row>
    <row r="54" spans="1:7">
      <c r="A54" s="133">
        <f>IFERROR((LOOKUP(MATCH(B54,'00 ACC DETAILS 04'!$E$30:$E$112,0),'00 ACC DETAILS 04'!$A$30:$A$112,'00 ACC DETAILS 04'!$D$30:$D$112)),0)</f>
      </c>
      <c r="B54" t="s" s="30">
        <v>49</v>
      </c>
      <c r="C54" s="28">
        <f t="shared" si="3"/>
      </c>
      <c r="D54" s="23">
        <f t="shared" si="0"/>
      </c>
      <c r="E54" s="29">
        <f t="shared" si="4"/>
      </c>
      <c r="F54" s="25">
        <f t="shared" si="1"/>
      </c>
      <c r="G54" s="26">
        <f t="shared" si="2"/>
      </c>
    </row>
    <row r="55" spans="1:7">
      <c r="A55" s="133">
        <f>IFERROR((LOOKUP(MATCH(B55,'00 ACC DETAILS 04'!$E$30:$E$112,0),'00 ACC DETAILS 04'!$A$30:$A$112,'00 ACC DETAILS 04'!$D$30:$D$112)),0)</f>
      </c>
      <c r="B55" t="s" s="30">
        <v>50</v>
      </c>
      <c r="C55" s="28">
        <f t="shared" si="3"/>
      </c>
      <c r="D55" s="23">
        <f t="shared" si="0"/>
      </c>
      <c r="E55" s="29">
        <f t="shared" si="4"/>
      </c>
      <c r="F55" s="25">
        <f t="shared" si="1"/>
      </c>
      <c r="G55" s="26">
        <f t="shared" si="2"/>
      </c>
    </row>
    <row r="56" spans="1:7">
      <c r="A56" s="133">
        <f>IFERROR((LOOKUP(MATCH(B56,'00 ACC DETAILS 04'!$E$30:$E$112,0),'00 ACC DETAILS 04'!$A$30:$A$112,'00 ACC DETAILS 04'!$D$30:$D$112)),0)</f>
      </c>
      <c r="B56" t="s" s="30">
        <v>51</v>
      </c>
      <c r="C56" s="28">
        <f t="shared" si="3"/>
      </c>
      <c r="D56" s="23">
        <f t="shared" si="0"/>
      </c>
      <c r="E56" s="29">
        <f t="shared" si="4"/>
      </c>
      <c r="F56" s="25">
        <f t="shared" si="1"/>
      </c>
      <c r="G56" s="26">
        <f t="shared" si="2"/>
      </c>
    </row>
    <row r="57" spans="1:7">
      <c r="A57" s="133">
        <f>IFERROR((LOOKUP(MATCH(B57,'00 ACC DETAILS 04'!$E$30:$E$112,0),'00 ACC DETAILS 04'!$A$30:$A$112,'00 ACC DETAILS 04'!$D$30:$D$112)),0)</f>
      </c>
      <c r="B57" t="s" s="30">
        <v>52</v>
      </c>
      <c r="C57" s="28">
        <f t="shared" si="3"/>
      </c>
      <c r="D57" s="23">
        <f t="shared" si="0"/>
      </c>
      <c r="E57" s="29">
        <f t="shared" si="4"/>
      </c>
      <c r="F57" s="25">
        <f t="shared" si="1"/>
      </c>
      <c r="G57" s="26">
        <f t="shared" si="2"/>
      </c>
    </row>
    <row r="58" spans="1:7">
      <c r="A58" s="133">
        <f>IFERROR((LOOKUP(MATCH(B58,'00 ACC DETAILS 04'!$E$30:$E$112,0),'00 ACC DETAILS 04'!$A$30:$A$112,'00 ACC DETAILS 04'!$D$30:$D$112)),0)</f>
      </c>
      <c r="B58" t="s" s="30">
        <v>53</v>
      </c>
      <c r="C58" s="28">
        <f t="shared" si="3"/>
      </c>
      <c r="D58" s="23">
        <f t="shared" si="0"/>
      </c>
      <c r="E58" s="29">
        <f t="shared" si="4"/>
      </c>
      <c r="F58" s="25">
        <f t="shared" si="1"/>
      </c>
      <c r="G58" s="26">
        <f t="shared" si="2"/>
      </c>
    </row>
    <row r="59" spans="1:7">
      <c r="A59" s="133">
        <f>IFERROR((LOOKUP(MATCH(B59,'00 ACC DETAILS 04'!$E$30:$E$112,0),'00 ACC DETAILS 04'!$A$30:$A$112,'00 ACC DETAILS 04'!$D$30:$D$112)),0)</f>
      </c>
      <c r="B59" t="s" s="30">
        <v>54</v>
      </c>
      <c r="C59" s="28">
        <f t="shared" si="3"/>
      </c>
      <c r="D59" s="23">
        <f t="shared" si="0"/>
      </c>
      <c r="E59" s="29">
        <f t="shared" si="4"/>
      </c>
      <c r="F59" s="25">
        <f t="shared" si="1"/>
      </c>
      <c r="G59" s="26">
        <f t="shared" si="2"/>
      </c>
    </row>
    <row r="60" spans="1:7">
      <c r="A60" s="133">
        <f>IFERROR((LOOKUP(MATCH(B60,'00 ACC DETAILS 04'!$E$30:$E$112,0),'00 ACC DETAILS 04'!$A$30:$A$112,'00 ACC DETAILS 04'!$D$30:$D$112)),0)</f>
      </c>
      <c r="B60" t="s" s="30">
        <v>55</v>
      </c>
      <c r="C60" s="28">
        <f t="shared" si="3"/>
      </c>
      <c r="D60" s="23">
        <f t="shared" si="0"/>
      </c>
      <c r="E60" s="29">
        <f t="shared" si="4"/>
      </c>
      <c r="F60" s="25">
        <f t="shared" si="1"/>
      </c>
      <c r="G60" s="26">
        <f t="shared" si="2"/>
      </c>
    </row>
    <row r="61" spans="1:7">
      <c r="A61" s="133">
        <f>IFERROR((LOOKUP(MATCH(B61,'00 ACC DETAILS 04'!$E$30:$E$112,0),'00 ACC DETAILS 04'!$A$30:$A$112,'00 ACC DETAILS 04'!$D$30:$D$112)),0)</f>
      </c>
      <c r="B61" t="s" s="30">
        <v>56</v>
      </c>
      <c r="C61" s="28">
        <f t="shared" si="3"/>
      </c>
      <c r="D61" s="23">
        <f t="shared" si="0"/>
      </c>
      <c r="E61" s="29">
        <f t="shared" si="4"/>
      </c>
      <c r="F61" s="25">
        <f t="shared" si="1"/>
      </c>
      <c r="G61" s="26">
        <f t="shared" si="2"/>
      </c>
    </row>
    <row r="62" spans="1:7">
      <c r="A62" s="133">
        <f>IFERROR((LOOKUP(MATCH(B62,'00 ACC DETAILS 04'!$E$30:$E$112,0),'00 ACC DETAILS 04'!$A$30:$A$112,'00 ACC DETAILS 04'!$D$30:$D$112)),0)</f>
      </c>
      <c r="B62" t="s" s="30">
        <v>57</v>
      </c>
      <c r="C62" s="28">
        <f t="shared" si="3"/>
      </c>
      <c r="D62" s="23">
        <f t="shared" si="0"/>
      </c>
      <c r="E62" s="29">
        <f t="shared" si="4"/>
      </c>
      <c r="F62" s="25">
        <f t="shared" si="1"/>
      </c>
      <c r="G62" s="26">
        <f t="shared" si="2"/>
      </c>
    </row>
    <row r="63" spans="1:7">
      <c r="A63" s="133">
        <f>IFERROR((LOOKUP(MATCH(B63,'00 ACC DETAILS 04'!$E$30:$E$112,0),'00 ACC DETAILS 04'!$A$30:$A$112,'00 ACC DETAILS 04'!$D$30:$D$112)),0)</f>
      </c>
      <c r="B63" t="s" s="30">
        <v>58</v>
      </c>
      <c r="C63" s="28">
        <f t="shared" si="3"/>
      </c>
      <c r="D63" s="23">
        <f t="shared" si="0"/>
      </c>
      <c r="E63" s="29">
        <f t="shared" si="4"/>
      </c>
      <c r="F63" s="25">
        <f t="shared" si="1"/>
      </c>
      <c r="G63" s="26">
        <f t="shared" si="2"/>
      </c>
    </row>
    <row r="64" spans="1:7">
      <c r="A64" s="133">
        <f>IFERROR((LOOKUP(MATCH(B64,'00 ACC DETAILS 04'!$E$30:$E$112,0),'00 ACC DETAILS 04'!$A$30:$A$112,'00 ACC DETAILS 04'!$D$30:$D$112)),0)</f>
      </c>
      <c r="B64" t="s" s="30">
        <v>59</v>
      </c>
      <c r="C64" s="28">
        <v>0</v>
      </c>
      <c r="D64" s="23">
        <f t="shared" si="0"/>
      </c>
      <c r="E64" s="29">
        <f t="shared" si="4"/>
      </c>
      <c r="F64" s="25">
        <f t="shared" si="1"/>
      </c>
      <c r="G64" s="26">
        <f t="shared" si="2"/>
      </c>
    </row>
    <row r="65" spans="1:7">
      <c r="A65" s="133">
        <f>IFERROR((LOOKUP(MATCH(B65,'00 ACC DETAILS 04'!$E$30:$E$112,0),'00 ACC DETAILS 04'!$A$30:$A$112,'00 ACC DETAILS 04'!$D$30:$D$112)),0)</f>
      </c>
      <c r="B65" t="s" s="30">
        <v>60</v>
      </c>
      <c r="C65" s="28">
        <v>400</v>
      </c>
      <c r="D65" s="23">
        <f t="shared" si="0"/>
      </c>
      <c r="E65" s="29">
        <f t="shared" si="4"/>
      </c>
      <c r="F65" s="25">
        <f t="shared" si="1"/>
      </c>
      <c r="G65" s="26">
        <f t="shared" si="2"/>
      </c>
    </row>
    <row r="66" spans="1:7">
      <c r="A66" s="133">
        <f>IFERROR((LOOKUP(MATCH(B66,'00 ACC DETAILS 04'!$E$30:$E$112,0),'00 ACC DETAILS 04'!$A$30:$A$112,'00 ACC DETAILS 04'!$D$30:$D$112)),0)</f>
      </c>
      <c r="B66" t="s" s="30">
        <v>61</v>
      </c>
      <c r="C66" s="28">
        <v>600</v>
      </c>
      <c r="D66" s="23">
        <f t="shared" si="0"/>
      </c>
      <c r="E66" s="29">
        <f t="shared" si="4"/>
      </c>
      <c r="F66" s="25">
        <f t="shared" si="1"/>
      </c>
      <c r="G66" s="26">
        <f t="shared" si="2"/>
      </c>
    </row>
    <row r="67" spans="1:7">
      <c r="A67" s="133">
        <f>IFERROR((LOOKUP(MATCH(B67,'00 ACC DETAILS 04'!$E$30:$E$112,0),'00 ACC DETAILS 04'!$A$30:$A$112,'00 ACC DETAILS 04'!$D$30:$D$112)),0)</f>
      </c>
      <c r="B67" t="s" s="30">
        <v>62</v>
      </c>
      <c r="C67" s="28">
        <v>450</v>
      </c>
      <c r="D67" s="23">
        <f t="shared" si="0"/>
      </c>
      <c r="E67" s="29">
        <f t="shared" si="4"/>
      </c>
      <c r="F67" s="25">
        <f t="shared" si="1"/>
      </c>
      <c r="G67" s="26">
        <f t="shared" si="2"/>
      </c>
    </row>
    <row r="68" spans="1:7">
      <c r="A68" s="133">
        <f>IFERROR((LOOKUP(MATCH(B68,'00 ACC DETAILS 04'!$E$30:$E$112,0),'00 ACC DETAILS 04'!$A$30:$A$112,'00 ACC DETAILS 04'!$D$30:$D$112)),0)</f>
      </c>
      <c r="B68" t="s" s="30">
        <v>63</v>
      </c>
      <c r="C68" s="28">
        <v>750</v>
      </c>
      <c r="D68" s="23">
        <f t="shared" si="0"/>
      </c>
      <c r="E68" s="29">
        <f t="shared" si="4"/>
      </c>
      <c r="F68" s="25">
        <f t="shared" si="1"/>
      </c>
      <c r="G68" s="26">
        <f t="shared" si="2"/>
      </c>
    </row>
    <row r="69" spans="1:7">
      <c r="A69" s="133">
        <f>IFERROR((LOOKUP(MATCH(B69,'00 ACC DETAILS 04'!$E$30:$E$112,0),'00 ACC DETAILS 04'!$A$30:$A$112,'00 ACC DETAILS 04'!$D$30:$D$112)),0)</f>
      </c>
      <c r="B69" t="s" s="30">
        <v>64</v>
      </c>
      <c r="C69" s="28">
        <f>C67</f>
      </c>
      <c r="D69" s="23">
        <f t="shared" si="0"/>
      </c>
      <c r="E69" s="29">
        <f t="shared" si="4"/>
      </c>
      <c r="F69" s="25">
        <f t="shared" si="1"/>
      </c>
      <c r="G69" s="26">
        <f t="shared" si="2"/>
      </c>
    </row>
    <row r="70" spans="1:7">
      <c r="A70" s="133">
        <f>IFERROR((LOOKUP(MATCH(B70,'00 ACC DETAILS 04'!$E$30:$E$112,0),'00 ACC DETAILS 04'!$A$30:$A$112,'00 ACC DETAILS 04'!$D$30:$D$112)),0)</f>
      </c>
      <c r="B70" t="s" s="30">
        <v>65</v>
      </c>
      <c r="C70" s="28">
        <f>C68</f>
      </c>
      <c r="D70" s="23">
        <f t="shared" si="0"/>
      </c>
      <c r="E70" s="29">
        <f t="shared" si="4"/>
      </c>
      <c r="F70" s="25">
        <f t="shared" si="1"/>
      </c>
      <c r="G70" s="26">
        <f t="shared" si="2"/>
      </c>
    </row>
    <row r="71" spans="1:7">
      <c r="A71" s="133">
        <f>IFERROR((LOOKUP(MATCH(B71,'00 ACC DETAILS 04'!$E$30:$E$112,0),'00 ACC DETAILS 04'!$A$30:$A$112,'00 ACC DETAILS 04'!$D$30:$D$112)),0)</f>
      </c>
      <c r="B71" t="s" s="30">
        <v>66</v>
      </c>
      <c r="C71" s="28">
        <f>C63</f>
      </c>
      <c r="D71" s="23">
        <f t="shared" si="0"/>
      </c>
      <c r="E71" s="29">
        <f t="shared" si="4"/>
      </c>
      <c r="F71" s="25">
        <f t="shared" si="1"/>
      </c>
      <c r="G71" s="26">
        <f t="shared" si="2"/>
      </c>
    </row>
    <row r="72" spans="1:7">
      <c r="A72" s="133">
        <f>IFERROR((LOOKUP(MATCH(B72,'00 ACC DETAILS 04'!$E$30:$E$112,0),'00 ACC DETAILS 04'!$A$30:$A$112,'00 ACC DETAILS 04'!$D$30:$D$112)),0)</f>
      </c>
      <c r="B72" t="s" s="30">
        <v>67</v>
      </c>
      <c r="C72" s="28">
        <f>C62</f>
      </c>
      <c r="D72" s="23">
        <f t="shared" si="0"/>
      </c>
      <c r="E72" s="29">
        <f t="shared" si="4"/>
      </c>
      <c r="F72" s="25">
        <f t="shared" si="1"/>
      </c>
      <c r="G72" s="26">
        <f t="shared" si="2"/>
      </c>
    </row>
    <row r="73" spans="1:7">
      <c r="A73" s="133">
        <f>IFERROR((LOOKUP(MATCH(B73,'00 ACC DETAILS 04'!$E$30:$E$112,0),'00 ACC DETAILS 04'!$A$30:$A$112,'00 ACC DETAILS 04'!$D$30:$D$112)),0)</f>
      </c>
      <c r="B73" t="s" s="30">
        <v>68</v>
      </c>
      <c r="C73" s="28">
        <f t="shared" ref="C73:C85" si="5">C71</f>
      </c>
      <c r="D73" s="23">
        <f t="shared" si="0"/>
      </c>
      <c r="E73" s="29">
        <f t="shared" si="4"/>
      </c>
      <c r="F73" s="25">
        <f t="shared" si="1"/>
      </c>
      <c r="G73" s="26">
        <f t="shared" si="2"/>
      </c>
    </row>
    <row r="74" spans="1:7">
      <c r="A74" s="133">
        <f>IFERROR((LOOKUP(MATCH(B74,'00 ACC DETAILS 04'!$E$30:$E$112,0),'00 ACC DETAILS 04'!$A$30:$A$112,'00 ACC DETAILS 04'!$D$30:$D$112)),0)</f>
      </c>
      <c r="B74" t="s" s="30">
        <v>69</v>
      </c>
      <c r="C74" s="28">
        <f t="shared" si="5"/>
      </c>
      <c r="D74" s="23">
        <f t="shared" si="0"/>
      </c>
      <c r="E74" s="29">
        <f t="shared" si="4"/>
      </c>
      <c r="F74" s="25">
        <f t="shared" si="1"/>
      </c>
      <c r="G74" s="26">
        <f t="shared" si="2"/>
      </c>
    </row>
    <row r="75" spans="1:7">
      <c r="A75" s="133">
        <f>IFERROR((LOOKUP(MATCH(B75,'00 ACC DETAILS 04'!$E$30:$E$112,0),'00 ACC DETAILS 04'!$A$30:$A$112,'00 ACC DETAILS 04'!$D$30:$D$112)),0)</f>
      </c>
      <c r="B75" t="s" s="30">
        <v>70</v>
      </c>
      <c r="C75" s="28">
        <f t="shared" si="5"/>
      </c>
      <c r="D75" s="23">
        <f t="shared" si="0"/>
      </c>
      <c r="E75" s="29">
        <f t="shared" si="4"/>
      </c>
      <c r="F75" s="25">
        <f t="shared" si="1"/>
      </c>
      <c r="G75" s="26">
        <f t="shared" si="2"/>
      </c>
    </row>
    <row r="76" spans="1:7">
      <c r="A76" s="133">
        <f>IFERROR((LOOKUP(MATCH(B76,'00 ACC DETAILS 04'!$E$30:$E$112,0),'00 ACC DETAILS 04'!$A$30:$A$112,'00 ACC DETAILS 04'!$D$30:$D$112)),0)</f>
      </c>
      <c r="B76" t="s" s="30">
        <v>71</v>
      </c>
      <c r="C76" s="28">
        <f t="shared" si="5"/>
      </c>
      <c r="D76" s="23">
        <f t="shared" si="0"/>
      </c>
      <c r="E76" s="29">
        <f t="shared" si="4"/>
      </c>
      <c r="F76" s="25">
        <f t="shared" si="1"/>
      </c>
      <c r="G76" s="26">
        <f t="shared" si="2"/>
      </c>
    </row>
    <row r="77" spans="1:7">
      <c r="A77" s="133">
        <f>IFERROR((LOOKUP(MATCH(B77,'00 ACC DETAILS 04'!$E$30:$E$112,0),'00 ACC DETAILS 04'!$A$30:$A$112,'00 ACC DETAILS 04'!$D$30:$D$112)),0)</f>
      </c>
      <c r="B77" t="s" s="30">
        <v>72</v>
      </c>
      <c r="C77" s="28">
        <f t="shared" si="5"/>
      </c>
      <c r="D77" s="23">
        <f t="shared" si="0"/>
      </c>
      <c r="E77" s="31">
        <f t="shared" si="4"/>
      </c>
      <c r="F77" s="25">
        <f t="shared" si="1"/>
      </c>
      <c r="G77" s="26">
        <f t="shared" si="2"/>
      </c>
    </row>
    <row r="78" spans="1:7">
      <c r="A78" s="133">
        <f>IFERROR((LOOKUP(MATCH(B78,'00 ACC DETAILS 04'!$E$30:$E$112,0),'00 ACC DETAILS 04'!$A$30:$A$112,'00 ACC DETAILS 04'!$D$30:$D$112)),0)</f>
      </c>
      <c r="B78" t="s" s="30">
        <v>73</v>
      </c>
      <c r="C78" s="28">
        <f t="shared" si="5"/>
      </c>
      <c r="D78" s="23">
        <f t="shared" si="0"/>
      </c>
      <c r="E78" s="29">
        <f t="shared" si="4"/>
      </c>
      <c r="F78" s="25">
        <f t="shared" si="1"/>
      </c>
      <c r="G78" s="26">
        <f t="shared" si="2"/>
      </c>
    </row>
    <row r="79" spans="1:7">
      <c r="A79" s="133">
        <f>IFERROR((LOOKUP(MATCH(B79,'00 ACC DETAILS 04'!$E$30:$E$112,0),'00 ACC DETAILS 04'!$A$30:$A$112,'00 ACC DETAILS 04'!$D$30:$D$112)),0)</f>
      </c>
      <c r="B79" t="s" s="30">
        <v>74</v>
      </c>
      <c r="C79" s="28">
        <f>C77</f>
      </c>
      <c r="D79" s="23">
        <f>A79*C79</f>
      </c>
      <c r="E79" s="31">
        <f t="shared" si="4"/>
      </c>
      <c r="F79" s="25">
        <f t="shared" si="1"/>
      </c>
      <c r="G79" s="26">
        <f t="shared" si="2"/>
      </c>
    </row>
    <row r="80" spans="1:7">
      <c r="A80" s="133">
        <f>IFERROR((LOOKUP(MATCH(B80,'00 ACC DETAILS 04'!$E$30:$E$112,0),'00 ACC DETAILS 04'!$A$30:$A$112,'00 ACC DETAILS 04'!$D$30:$D$112)),0)</f>
      </c>
      <c r="B80" t="s" s="30">
        <v>75</v>
      </c>
      <c r="C80" s="28">
        <f t="shared" si="5"/>
      </c>
      <c r="D80" s="23">
        <f t="shared" si="0"/>
      </c>
      <c r="E80" s="31">
        <f t="shared" si="4"/>
      </c>
      <c r="F80" s="25">
        <f t="shared" si="1"/>
      </c>
      <c r="G80" s="26">
        <f t="shared" si="2"/>
      </c>
    </row>
    <row r="81" spans="1:7">
      <c r="A81" s="133">
        <f>IFERROR((LOOKUP(MATCH(B81,'00 ACC DETAILS 04'!$E$30:$E$112,0),'00 ACC DETAILS 04'!$A$30:$A$112,'00 ACC DETAILS 04'!$D$30:$D$112)),0)</f>
      </c>
      <c r="B81" t="s" s="30">
        <v>76</v>
      </c>
      <c r="C81" s="28">
        <f t="shared" si="5"/>
      </c>
      <c r="D81" s="23">
        <f t="shared" si="0"/>
      </c>
      <c r="E81" s="31">
        <f t="shared" si="4"/>
      </c>
      <c r="F81" s="25">
        <f t="shared" si="1"/>
      </c>
      <c r="G81" s="26">
        <f t="shared" si="2"/>
      </c>
    </row>
    <row r="82" spans="1:7">
      <c r="A82" s="133">
        <f>IFERROR((LOOKUP(MATCH(B82,'00 ACC DETAILS 04'!$E$30:$E$112,0),'00 ACC DETAILS 04'!$A$30:$A$112,'00 ACC DETAILS 04'!$D$30:$D$112)),0)</f>
      </c>
      <c r="B82" t="s" s="30">
        <v>77</v>
      </c>
      <c r="C82" s="28">
        <f t="shared" si="5"/>
      </c>
      <c r="D82" s="23">
        <f t="shared" si="0"/>
      </c>
      <c r="E82" s="31">
        <f t="shared" si="4"/>
      </c>
      <c r="F82" s="25">
        <f t="shared" si="1"/>
      </c>
      <c r="G82" s="26">
        <f t="shared" si="2"/>
      </c>
    </row>
    <row r="83" spans="1:7">
      <c r="A83" s="133">
        <f>IFERROR((LOOKUP(MATCH(B83,'00 ACC DETAILS 04'!$E$30:$E$112,0),'00 ACC DETAILS 04'!$A$30:$A$112,'00 ACC DETAILS 04'!$D$30:$D$112)),0)</f>
      </c>
      <c r="B83" t="s" s="32">
        <v>78</v>
      </c>
      <c r="C83" s="33">
        <f t="shared" si="5"/>
      </c>
      <c r="D83" s="23">
        <f t="shared" ref="D83:D101" si="6">A83*C83</f>
      </c>
      <c r="E83" s="31">
        <f t="shared" si="4"/>
      </c>
      <c r="F83" s="25">
        <f t="shared" ref="F83:F101" si="7">D83*E83/100</f>
      </c>
      <c r="G83" s="26">
        <f t="shared" ref="G83:G101" si="8">D83+F83</f>
      </c>
    </row>
    <row r="84" spans="1:7">
      <c r="A84" s="133">
        <f>IFERROR((LOOKUP(MATCH(B84,'00 ACC DETAILS 04'!$E$30:$E$112,0),'00 ACC DETAILS 04'!$A$30:$A$112,'00 ACC DETAILS 04'!$D$30:$D$112)),0)</f>
      </c>
      <c r="B84" t="s" s="34">
        <v>79</v>
      </c>
      <c r="C84" s="35">
        <f t="shared" si="5"/>
      </c>
      <c r="D84" s="23">
        <f t="shared" si="6"/>
      </c>
      <c r="E84" s="31">
        <f t="shared" si="4"/>
      </c>
      <c r="F84" s="25">
        <f t="shared" si="7"/>
      </c>
      <c r="G84" s="26">
        <f t="shared" si="8"/>
      </c>
    </row>
    <row r="85" spans="1:7">
      <c r="A85" s="133">
        <f>IFERROR((LOOKUP(MATCH(B85,'00 ACC DETAILS 04'!$E$30:$E$112,0),'00 ACC DETAILS 04'!$A$30:$A$112,'00 ACC DETAILS 04'!$D$30:$D$112)),0)</f>
      </c>
      <c r="B85" t="s" s="34">
        <v>80</v>
      </c>
      <c r="C85" s="35">
        <f t="shared" si="5"/>
      </c>
      <c r="D85" s="23">
        <f t="shared" si="6"/>
      </c>
      <c r="E85" s="31">
        <f t="shared" si="4"/>
      </c>
      <c r="F85" s="25">
        <f t="shared" si="7"/>
      </c>
      <c r="G85" s="26">
        <f t="shared" si="8"/>
      </c>
    </row>
    <row r="86" spans="1:7">
      <c r="A86" s="133">
        <f>IFERROR((LOOKUP(MATCH(B86,'00 ACC DETAILS 04'!$E$30:$E$112,0),'00 ACC DETAILS 04'!$A$30:$A$112,'00 ACC DETAILS 04'!$D$30:$D$112)),0)</f>
      </c>
      <c r="B86" t="s" s="34">
        <v>81</v>
      </c>
      <c r="C86" s="35">
        <v>2250</v>
      </c>
      <c r="D86" s="23">
        <f t="shared" si="6"/>
      </c>
      <c r="E86" s="31">
        <f t="shared" si="4"/>
      </c>
      <c r="F86" s="25">
        <f t="shared" si="7"/>
      </c>
      <c r="G86" s="26">
        <f t="shared" si="8"/>
      </c>
    </row>
    <row r="87" spans="1:7">
      <c r="A87" s="133">
        <f>IFERROR((LOOKUP(MATCH(B87,'00 ACC DETAILS 04'!$E$30:$E$112,0),'00 ACC DETAILS 04'!$A$30:$A$112,'00 ACC DETAILS 04'!$D$30:$D$112)),0)</f>
      </c>
      <c r="B87" t="s" s="34">
        <v>82</v>
      </c>
      <c r="C87" s="35">
        <f>C85</f>
      </c>
      <c r="D87" s="23">
        <f t="shared" si="6"/>
      </c>
      <c r="E87" s="31">
        <f t="shared" si="4"/>
      </c>
      <c r="F87" s="25">
        <f t="shared" si="7"/>
      </c>
      <c r="G87" s="26">
        <f t="shared" si="8"/>
      </c>
    </row>
    <row r="88" spans="1:7">
      <c r="A88" s="133">
        <f>IFERROR((LOOKUP(MATCH(B88,'00 ACC DETAILS 04'!$E$30:$E$112,0),'00 ACC DETAILS 04'!$A$30:$A$112,'00 ACC DETAILS 04'!$D$30:$D$112)),0)</f>
      </c>
      <c r="B88" t="s" s="34">
        <v>83</v>
      </c>
      <c r="C88" s="35">
        <f>C86</f>
      </c>
      <c r="D88" s="23">
        <f t="shared" si="6"/>
      </c>
      <c r="E88" s="31">
        <f t="shared" si="4"/>
      </c>
      <c r="F88" s="25">
        <f t="shared" si="7"/>
      </c>
      <c r="G88" s="26">
        <f t="shared" si="8"/>
      </c>
    </row>
    <row r="89" spans="1:7">
      <c r="A89" s="133">
        <f>IFERROR((LOOKUP(MATCH(B89,'00 ACC DETAILS 04'!$E$30:$E$112,0),'00 ACC DETAILS 04'!$A$30:$A$112,'00 ACC DETAILS 04'!$D$30:$D$112)),0)</f>
      </c>
      <c r="B89" t="s" s="36">
        <v>84</v>
      </c>
      <c r="C89" s="37">
        <f>C87</f>
      </c>
      <c r="D89" s="23">
        <f t="shared" si="6"/>
      </c>
      <c r="E89" s="31">
        <f t="shared" ref="E89:E100" si="9">E90+6</f>
      </c>
      <c r="F89" s="25">
        <f t="shared" si="7"/>
      </c>
      <c r="G89" s="26">
        <f t="shared" si="8"/>
      </c>
    </row>
    <row r="90" spans="1:7">
      <c r="A90" s="133">
        <f>IFERROR((LOOKUP(MATCH(B90,'00 ACC DETAILS 04'!$E$30:$E$112,0),'00 ACC DETAILS 04'!$A$30:$A$112,'00 ACC DETAILS 04'!$D$30:$D$112)),0)</f>
      </c>
      <c r="B90" t="s" s="34">
        <v>85</v>
      </c>
      <c r="C90" s="35">
        <f>C88</f>
      </c>
      <c r="D90" s="23">
        <f t="shared" si="6"/>
      </c>
      <c r="E90" s="31">
        <f t="shared" si="9"/>
      </c>
      <c r="F90" s="25">
        <f t="shared" si="7"/>
      </c>
      <c r="G90" s="26">
        <f t="shared" si="8"/>
      </c>
    </row>
    <row r="91" spans="1:7">
      <c r="A91" s="133">
        <f>IFERROR((LOOKUP(MATCH(B91,'00 ACC DETAILS 04'!$E$30:$E$112,0),'00 ACC DETAILS 04'!$A$30:$A$112,'00 ACC DETAILS 04'!$D$30:$D$112)),0)</f>
      </c>
      <c r="B91" t="s" s="34">
        <v>86</v>
      </c>
      <c r="C91" s="35">
        <f>C89</f>
      </c>
      <c r="D91" s="23">
        <f t="shared" si="6"/>
      </c>
      <c r="E91" s="31">
        <f t="shared" si="9"/>
      </c>
      <c r="F91" s="25">
        <f t="shared" si="7"/>
      </c>
      <c r="G91" s="26">
        <f t="shared" si="8"/>
      </c>
    </row>
    <row r="92" spans="1:7">
      <c r="A92" s="133">
        <f>IFERROR((LOOKUP(MATCH(B92,'00 ACC DETAILS 04'!$E$30:$E$112,0),'00 ACC DETAILS 04'!$A$30:$A$112,'00 ACC DETAILS 04'!$D$30:$D$112)),0)</f>
      </c>
      <c r="B92" t="s" s="34">
        <v>87</v>
      </c>
      <c r="C92" s="35">
        <v>2550</v>
      </c>
      <c r="D92" s="23">
        <f t="shared" si="6"/>
      </c>
      <c r="E92" s="31">
        <f t="shared" si="9"/>
      </c>
      <c r="F92" s="25">
        <f t="shared" si="7"/>
      </c>
      <c r="G92" s="26">
        <f t="shared" si="8"/>
      </c>
    </row>
    <row r="93" spans="1:7">
      <c r="A93" s="133">
        <f>IFERROR((LOOKUP(MATCH(B93,'00 ACC DETAILS 04'!$E$30:$E$112,0),'00 ACC DETAILS 04'!$A$30:$A$112,'00 ACC DETAILS 04'!$D$30:$D$112)),0)</f>
      </c>
      <c r="B93" t="s" s="36">
        <v>88</v>
      </c>
      <c r="C93" s="37">
        <v>1700</v>
      </c>
      <c r="D93" s="23">
        <f t="shared" si="6"/>
      </c>
      <c r="E93" s="31">
        <f t="shared" si="9"/>
      </c>
      <c r="F93" s="25">
        <f t="shared" si="7"/>
      </c>
      <c r="G93" s="26">
        <f t="shared" si="8"/>
      </c>
    </row>
    <row r="94" spans="1:7">
      <c r="A94" s="133">
        <f>IFERROR((LOOKUP(MATCH(B94,'00 ACC DETAILS 04'!$E$30:$E$112,0),'00 ACC DETAILS 04'!$A$30:$A$112,'00 ACC DETAILS 04'!$D$30:$D$112)),0)</f>
      </c>
      <c r="B94" t="s" s="34">
        <v>89</v>
      </c>
      <c r="C94" s="35">
        <f>17*150</f>
      </c>
      <c r="D94" s="23">
        <f t="shared" si="6"/>
      </c>
      <c r="E94" s="31">
        <f t="shared" si="9"/>
      </c>
      <c r="F94" s="25">
        <f t="shared" si="7"/>
      </c>
      <c r="G94" s="26">
        <f t="shared" si="8"/>
      </c>
    </row>
    <row r="95" spans="1:7">
      <c r="A95" s="133">
        <f>IFERROR((LOOKUP(MATCH(B95,'00 ACC DETAILS 04'!$E$30:$E$112,0),'00 ACC DETAILS 04'!$A$30:$A$112,'00 ACC DETAILS 04'!$D$30:$D$112)),0)</f>
      </c>
      <c r="B95" t="s" s="34">
        <v>90</v>
      </c>
      <c r="C95" s="35">
        <f>17*100</f>
      </c>
      <c r="D95" s="23">
        <f t="shared" si="6"/>
      </c>
      <c r="E95" s="31">
        <f t="shared" si="9"/>
      </c>
      <c r="F95" s="25">
        <f t="shared" si="7"/>
      </c>
      <c r="G95" s="26">
        <f t="shared" si="8"/>
      </c>
    </row>
    <row r="96" spans="1:7">
      <c r="A96" s="133">
        <f>IFERROR((LOOKUP(MATCH(B96,'00 ACC DETAILS 04'!$E$30:$E$112,0),'00 ACC DETAILS 04'!$A$30:$A$112,'00 ACC DETAILS 04'!$D$30:$D$112)),0)</f>
      </c>
      <c r="B96" t="s" s="34">
        <v>91</v>
      </c>
      <c r="C96" s="35">
        <f>C94</f>
      </c>
      <c r="D96" s="23">
        <f t="shared" si="6"/>
      </c>
      <c r="E96" s="31">
        <f t="shared" si="9"/>
      </c>
      <c r="F96" s="25">
        <f t="shared" si="7"/>
      </c>
      <c r="G96" s="26">
        <f t="shared" si="8"/>
      </c>
    </row>
    <row r="97" spans="1:7">
      <c r="A97" s="133">
        <f>IFERROR((LOOKUP(MATCH(B97,'00 ACC DETAILS 04'!$E$30:$E$112,0),'00 ACC DETAILS 04'!$A$30:$A$112,'00 ACC DETAILS 04'!$D$30:$D$112)),0)</f>
      </c>
      <c r="B97" t="s" s="34">
        <v>92</v>
      </c>
      <c r="C97" s="35">
        <f>17*100</f>
      </c>
      <c r="D97" s="23">
        <f t="shared" si="6"/>
      </c>
      <c r="E97" s="31">
        <f t="shared" si="9"/>
      </c>
      <c r="F97" s="25">
        <f t="shared" si="7"/>
      </c>
      <c r="G97" s="26">
        <f t="shared" si="8"/>
      </c>
    </row>
    <row r="98" spans="1:7">
      <c r="A98" s="133">
        <f>IFERROR((LOOKUP(MATCH(B98,'00 ACC DETAILS 04'!$E$30:$E$112,0),'00 ACC DETAILS 04'!$A$30:$A$112,'00 ACC DETAILS 04'!$D$30:$D$112)),0)</f>
      </c>
      <c r="B98" t="s" s="34">
        <v>93</v>
      </c>
      <c r="C98" s="35">
        <f>C96</f>
      </c>
      <c r="D98" s="23">
        <f t="shared" si="6"/>
      </c>
      <c r="E98" s="31">
        <f t="shared" si="9"/>
      </c>
      <c r="F98" s="25">
        <f t="shared" si="7"/>
      </c>
      <c r="G98" s="26">
        <f t="shared" si="8"/>
      </c>
    </row>
    <row r="99" spans="1:7">
      <c r="A99" s="133">
        <f>IFERROR((LOOKUP(MATCH(B99,'00 ACC DETAILS 04'!$E$30:$E$112,0),'00 ACC DETAILS 04'!$A$30:$A$112,'00 ACC DETAILS 04'!$D$30:$D$112)),0)</f>
      </c>
      <c r="B99" t="s" s="34">
        <v>94</v>
      </c>
      <c r="C99" s="35">
        <f>17*100</f>
      </c>
      <c r="D99" s="23">
        <f t="shared" si="6"/>
      </c>
      <c r="E99" s="31">
        <f t="shared" si="9"/>
      </c>
      <c r="F99" s="25">
        <f t="shared" si="7"/>
      </c>
      <c r="G99" s="38">
        <f t="shared" si="8"/>
      </c>
    </row>
    <row r="100" spans="1:7">
      <c r="A100" s="133">
        <f>IFERROR((LOOKUP(MATCH(B100,'00 ACC DETAILS 04'!$E$30:$E$112,0),'00 ACC DETAILS 04'!$A$30:$A$112,'00 ACC DETAILS 04'!$D$30:$D$112)),0)</f>
      </c>
      <c r="B100" t="s" s="34">
        <v>95</v>
      </c>
      <c r="C100" s="35">
        <f>C98</f>
      </c>
      <c r="D100" s="23">
        <f t="shared" si="6"/>
      </c>
      <c r="E100" s="31">
        <f t="shared" si="9"/>
      </c>
      <c r="F100" s="39">
        <f t="shared" si="7"/>
      </c>
      <c r="G100" s="40">
        <f t="shared" si="8"/>
      </c>
    </row>
    <row r="101" spans="1:7">
      <c r="A101" s="133">
        <f>IFERROR((LOOKUP(MATCH(B101,'00 ACC DETAILS 04'!$E$30:$E$112,0),'00 ACC DETAILS 04'!$A$30:$A$112,'00 ACC DETAILS 04'!$D$30:$D$112)),0)</f>
      </c>
      <c r="B101" t="s" s="34">
        <v>96</v>
      </c>
      <c r="C101" s="35">
        <f>17*100</f>
      </c>
      <c r="D101" s="23">
        <f t="shared" si="6"/>
      </c>
      <c r="E101" s="31">
        <v>11</v>
      </c>
      <c r="F101" s="39">
        <f t="shared" si="7"/>
      </c>
      <c r="G101" s="40">
        <f t="shared" si="8"/>
      </c>
    </row>
    <row r="102" spans="1:7" ht="18">
      <c r="A102" t="s" s="213">
        <v>97</v>
      </c>
      <c r="B102" s="213"/>
      <c r="C102" s="213"/>
      <c r="D102" s="41">
        <f>SUM(D19:D101)</f>
      </c>
      <c r="E102" s="42"/>
      <c r="F102" s="41">
        <f>SUM(F19:F101)</f>
      </c>
      <c r="G102" s="42">
        <f>SUM(G19:G101)</f>
      </c>
    </row>
    <row r="103" spans="1:7">
      <c r="A103" t="s" s="43">
        <v>98</v>
      </c>
      <c r="B103" s="44"/>
      <c r="C103" s="44"/>
      <c r="D103" s="214"/>
      <c r="E103" s="214"/>
      <c r="F103" s="215"/>
      <c r="G103" s="40">
        <v>0</v>
      </c>
    </row>
    <row r="104" spans="1:7" ht="20">
      <c r="A104" t="s" s="216">
        <v>99</v>
      </c>
      <c r="B104" s="216"/>
      <c r="C104" s="216"/>
      <c r="D104" s="216"/>
      <c r="E104" s="216"/>
      <c r="F104" s="217"/>
      <c r="G104" s="45">
        <f>G102+G103</f>
      </c>
    </row>
    <row r="105" spans="1:7">
      <c r="A105" t="s" s="46">
        <v>100</v>
      </c>
      <c r="B105" s="4"/>
      <c r="C105" s="4"/>
      <c r="D105" s="47"/>
      <c r="E105" s="48"/>
      <c r="F105" s="49"/>
      <c r="G105" s="50"/>
    </row>
    <row r="106" spans="1:7">
      <c r="A106" s="4"/>
      <c r="B106" s="4"/>
      <c r="C106" s="4"/>
      <c r="D106" s="47"/>
      <c r="E106" s="48"/>
      <c r="F106" s="49"/>
      <c r="G106" s="50"/>
    </row>
    <row r="107" spans="1:7">
      <c r="A107" t="s" s="4">
        <v>101</v>
      </c>
      <c r="B107" s="4"/>
      <c r="C107" t="s" s="4">
        <v>102</v>
      </c>
      <c r="D107" t="s" s="4">
        <v>103</v>
      </c>
      <c r="E107" s="4"/>
      <c r="F107" s="4"/>
      <c r="G107" t="s" s="4">
        <v>104</v>
      </c>
    </row>
    <row r="108" spans="1:7">
      <c r="A108" s="4"/>
      <c r="B108" s="4"/>
      <c r="C108" s="4"/>
      <c r="D108" s="4"/>
      <c r="E108" s="4"/>
      <c r="F108" s="4"/>
      <c r="G108" s="7"/>
    </row>
    <row r="109" spans="1:7">
      <c r="A109" t="s" s="218">
        <v>105</v>
      </c>
      <c r="B109" s="219"/>
      <c r="C109" t="s" s="218">
        <v>106</v>
      </c>
      <c r="D109" s="219"/>
      <c r="E109" t="s" s="218">
        <v>107</v>
      </c>
      <c r="F109" s="218"/>
      <c r="G109" t="s" s="51">
        <v>108</v>
      </c>
    </row>
    <row r="110" spans="1:7">
      <c r="A110" t="s" s="207">
        <v>109</v>
      </c>
      <c r="B110" s="208"/>
      <c r="C110" t="s" s="208">
        <v>110</v>
      </c>
      <c r="D110" s="208"/>
      <c r="E110" t="s" s="208">
        <v>111</v>
      </c>
      <c r="F110" s="208"/>
      <c r="G110" t="s" s="7">
        <v>112</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t="s" s="221">
        <v>113</v>
      </c>
      <c r="B119" s="221"/>
      <c r="C119" s="221"/>
      <c r="D119" s="221"/>
      <c r="E119" s="221"/>
      <c r="F119" s="221"/>
      <c r="G119" s="221"/>
    </row>
    <row r="120" spans="1:7" ht="23">
      <c r="A120" t="s" s="222">
        <v>114</v>
      </c>
      <c r="B120" s="222"/>
      <c r="C120" s="222"/>
      <c r="D120" s="222"/>
      <c r="E120" s="222"/>
      <c r="F120" s="222"/>
      <c r="G120" s="222"/>
    </row>
    <row r="121" spans="1:7">
      <c r="A121" t="s" s="223">
        <v>289</v>
      </c>
      <c r="B121" s="223"/>
      <c r="C121" s="223"/>
      <c r="D121" s="223"/>
      <c r="E121" s="223"/>
      <c r="F121" s="223"/>
      <c r="G121" s="223"/>
    </row>
    <row r="122" spans="1:7" ht="16">
      <c r="A122" t="s" s="224">
        <v>115</v>
      </c>
      <c r="B122" s="224"/>
      <c r="C122" s="224"/>
      <c r="D122" s="224"/>
      <c r="E122" s="224"/>
      <c r="F122" s="224"/>
      <c r="G122" s="224"/>
    </row>
    <row r="123" spans="1:7">
      <c r="A123" t="s" s="225">
        <v>116</v>
      </c>
      <c r="B123" s="225"/>
      <c r="C123" s="225"/>
      <c r="D123" s="225"/>
      <c r="E123" s="225"/>
      <c r="F123" s="225"/>
      <c r="G123" s="225"/>
    </row>
    <row r="124" spans="1:7">
      <c r="A124" s="1"/>
      <c r="B124" s="2"/>
      <c r="C124" s="2"/>
      <c r="D124" s="2"/>
      <c r="E124" s="2"/>
      <c r="F124" s="2"/>
      <c r="G124" s="2"/>
    </row>
    <row r="125" spans="1:7">
      <c r="A125" t="s" s="3">
        <v>117</v>
      </c>
      <c r="B125" s="3"/>
      <c r="C125" s="3"/>
      <c r="D125" s="3"/>
      <c r="E125" s="3"/>
      <c r="F125" s="4"/>
      <c r="G125" t="s" s="5">
        <v>118</v>
      </c>
    </row>
    <row r="126" spans="1:7">
      <c r="A126" t="s" s="3">
        <v>119</v>
      </c>
      <c r="B126" s="3"/>
      <c r="C126" s="3"/>
      <c r="D126" s="3"/>
      <c r="E126" s="3"/>
      <c r="F126" s="4"/>
      <c r="G126" t="s" s="5">
        <v>120</v>
      </c>
    </row>
    <row r="127" spans="1:7">
      <c r="A127" t="s" s="3">
        <v>121</v>
      </c>
      <c r="B127" s="3"/>
      <c r="C127" s="3"/>
      <c r="D127" s="3"/>
      <c r="E127" s="3"/>
      <c r="F127" s="3"/>
      <c r="G127" s="3"/>
    </row>
    <row r="128" spans="1:7">
      <c r="A128" s="3"/>
      <c r="B128" s="3"/>
      <c r="C128" s="3"/>
      <c r="D128" s="3"/>
      <c r="E128" s="3"/>
      <c r="F128" s="3"/>
      <c r="G128" s="3"/>
    </row>
    <row r="129" spans="1:7" ht="20">
      <c r="A129" t="s" s="202">
        <v>0</v>
      </c>
      <c r="B129" s="202"/>
      <c r="C129" s="202"/>
      <c r="D129" s="202"/>
      <c r="E129" s="202"/>
      <c r="F129" s="202"/>
      <c r="G129" s="202"/>
    </row>
    <row r="130" spans="1:7">
      <c r="A130" s="208">
        <f ca="1">A12</f>
      </c>
      <c r="B130" s="208"/>
      <c r="C130" s="208"/>
      <c r="D130" s="208"/>
      <c r="E130" s="208"/>
      <c r="F130" s="208"/>
      <c r="G130" s="208"/>
    </row>
    <row r="131" spans="1:7">
      <c r="A131" s="210"/>
      <c r="B131" s="210"/>
      <c r="C131" s="6"/>
      <c r="D131" s="7"/>
      <c r="E131" s="4"/>
      <c r="F131" s="7"/>
      <c r="G131" s="7"/>
    </row>
    <row r="132" spans="1:7" ht="20">
      <c r="A132" t="s" s="226">
        <v>1</v>
      </c>
      <c r="B132" s="226"/>
      <c r="C132" s="53">
        <f>C14</f>
      </c>
      <c r="D132" s="4"/>
      <c r="E132" s="4"/>
      <c r="F132" t="s" s="54">
        <v>2</v>
      </c>
      <c r="G132" s="55">
        <f>G14</f>
      </c>
    </row>
    <row r="133" spans="1:7" ht="20">
      <c r="A133" t="s" s="4">
        <v>3</v>
      </c>
      <c r="B133" s="56"/>
      <c r="C133" s="53">
        <f>C15</f>
      </c>
      <c r="D133" s="4"/>
      <c r="E133" s="4"/>
      <c r="F133" t="s" s="54">
        <v>4</v>
      </c>
      <c r="G133" s="57">
        <f>G15</f>
      </c>
    </row>
    <row r="134" spans="1:7" ht="16">
      <c r="A134" t="s" s="4">
        <v>5</v>
      </c>
      <c r="B134" s="58"/>
      <c r="C134" s="227"/>
      <c r="D134" s="227"/>
      <c r="E134" t="s" s="4">
        <v>6</v>
      </c>
      <c r="F134" s="228"/>
      <c r="G134" s="228"/>
    </row>
    <row r="135" spans="1:7" ht="17" thickBot="1">
      <c r="A135" t="s" s="4">
        <v>290</v>
      </c>
      <c r="B135" s="4"/>
      <c r="C135" s="58">
        <f>C17</f>
      </c>
      <c r="D135" s="59"/>
      <c r="E135" t="s" s="4">
        <v>6</v>
      </c>
      <c r="F135" s="220"/>
      <c r="G135" s="220"/>
    </row>
    <row r="136" spans="1:7" ht="16" thickBot="1">
      <c r="A136" t="s" s="20">
        <v>7</v>
      </c>
      <c r="B136" t="s" s="20">
        <v>8</v>
      </c>
      <c r="C136" t="s" s="20">
        <v>9</v>
      </c>
      <c r="D136" t="s" s="20">
        <v>10</v>
      </c>
      <c r="E136" t="s" s="21">
        <v>11</v>
      </c>
      <c r="F136" t="s" s="20">
        <v>12</v>
      </c>
      <c r="G136" t="s" s="20">
        <v>13</v>
      </c>
    </row>
    <row r="137" spans="1:7" ht="16">
      <c r="A137" s="60">
        <f t="shared" ref="A137:A200" si="10">A19</f>
      </c>
      <c r="B137" t="s" s="61">
        <v>14</v>
      </c>
      <c r="C137" s="35">
        <f>1.1*100</f>
      </c>
      <c r="D137" s="23">
        <f t="shared" ref="D137:D200" si="11">A137*C137</f>
      </c>
      <c r="E137" s="24"/>
      <c r="F137" s="25">
        <f t="shared" ref="F137:F200" si="12">D137*E137/100</f>
      </c>
      <c r="G137" s="26">
        <f t="shared" ref="G137:G200" si="13">D137+F137</f>
      </c>
    </row>
    <row r="138" spans="1:7" ht="16">
      <c r="A138" s="62">
        <f t="shared" si="10"/>
      </c>
      <c r="B138" t="s" s="30">
        <v>15</v>
      </c>
      <c r="C138" s="35">
        <f>1.1*150</f>
      </c>
      <c r="D138" s="28">
        <f t="shared" si="11"/>
      </c>
      <c r="E138" s="29"/>
      <c r="F138" s="63">
        <f t="shared" si="12"/>
      </c>
      <c r="G138" s="64">
        <f t="shared" si="13"/>
      </c>
    </row>
    <row r="139" spans="1:7" ht="16">
      <c r="A139" s="62">
        <f t="shared" si="10"/>
      </c>
      <c r="B139" t="s" s="30">
        <v>16</v>
      </c>
      <c r="C139" s="35">
        <f>1.1*100</f>
      </c>
      <c r="D139" s="28">
        <f t="shared" si="11"/>
      </c>
      <c r="E139" s="29"/>
      <c r="F139" s="63">
        <f t="shared" si="12"/>
      </c>
      <c r="G139" s="64">
        <f t="shared" si="13"/>
      </c>
    </row>
    <row r="140" spans="1:7" ht="16">
      <c r="A140" s="62">
        <f t="shared" si="10"/>
      </c>
      <c r="B140" t="s" s="30">
        <v>17</v>
      </c>
      <c r="C140" s="35">
        <f>1.1*150</f>
      </c>
      <c r="D140" s="28">
        <f t="shared" si="11"/>
      </c>
      <c r="E140" s="29"/>
      <c r="F140" s="63">
        <f t="shared" si="12"/>
      </c>
      <c r="G140" s="64">
        <f t="shared" si="13"/>
      </c>
    </row>
    <row r="141" spans="1:7" ht="16">
      <c r="A141" s="62">
        <f t="shared" si="10"/>
      </c>
      <c r="B141" t="s" s="30">
        <v>18</v>
      </c>
      <c r="C141" s="35">
        <f>1.1*100</f>
      </c>
      <c r="D141" s="28">
        <f t="shared" si="11"/>
      </c>
      <c r="E141" s="29"/>
      <c r="F141" s="63">
        <f t="shared" si="12"/>
      </c>
      <c r="G141" s="64">
        <f t="shared" si="13"/>
      </c>
    </row>
    <row r="142" spans="1:7" ht="16">
      <c r="A142" s="62">
        <f t="shared" si="10"/>
      </c>
      <c r="B142" t="s" s="30">
        <v>19</v>
      </c>
      <c r="C142" s="35">
        <f>1.1*150</f>
      </c>
      <c r="D142" s="28">
        <f t="shared" si="11"/>
      </c>
      <c r="E142" s="29"/>
      <c r="F142" s="63">
        <f t="shared" si="12"/>
      </c>
      <c r="G142" s="64">
        <f t="shared" si="13"/>
      </c>
    </row>
    <row r="143" spans="1:7" ht="16">
      <c r="A143" s="62">
        <f t="shared" si="10"/>
      </c>
      <c r="B143" t="s" s="30">
        <v>20</v>
      </c>
      <c r="C143" s="35">
        <f>1.1*100</f>
      </c>
      <c r="D143" s="28">
        <f t="shared" si="11"/>
      </c>
      <c r="E143" s="29"/>
      <c r="F143" s="63">
        <f t="shared" si="12"/>
      </c>
      <c r="G143" s="64">
        <f t="shared" si="13"/>
      </c>
    </row>
    <row r="144" spans="1:7" ht="16">
      <c r="A144" s="62">
        <f t="shared" si="10"/>
      </c>
      <c r="B144" t="s" s="30">
        <v>21</v>
      </c>
      <c r="C144" s="35">
        <f>1.1*150</f>
      </c>
      <c r="D144" s="28">
        <f t="shared" si="11"/>
      </c>
      <c r="E144" s="29"/>
      <c r="F144" s="63">
        <f t="shared" si="12"/>
      </c>
      <c r="G144" s="64">
        <f t="shared" si="13"/>
      </c>
    </row>
    <row r="145" spans="1:7" ht="16">
      <c r="A145" s="62">
        <f t="shared" si="10"/>
      </c>
      <c r="B145" t="s" s="30">
        <v>22</v>
      </c>
      <c r="C145" s="35">
        <f>1.3*100</f>
      </c>
      <c r="D145" s="28">
        <f t="shared" si="11"/>
      </c>
      <c r="E145" s="29"/>
      <c r="F145" s="63">
        <f t="shared" si="12"/>
      </c>
      <c r="G145" s="64">
        <f t="shared" si="13"/>
      </c>
    </row>
    <row r="146" spans="1:7" ht="16">
      <c r="A146" s="62">
        <f t="shared" si="10"/>
      </c>
      <c r="B146" t="s" s="30">
        <v>23</v>
      </c>
      <c r="C146" s="35">
        <f>1.3*150</f>
      </c>
      <c r="D146" s="28">
        <f t="shared" si="11"/>
      </c>
      <c r="E146" s="29"/>
      <c r="F146" s="63">
        <f t="shared" si="12"/>
      </c>
      <c r="G146" s="64">
        <f t="shared" si="13"/>
      </c>
    </row>
    <row r="147" spans="1:7" ht="16">
      <c r="A147" s="62">
        <f t="shared" si="10"/>
      </c>
      <c r="B147" t="s" s="30">
        <v>24</v>
      </c>
      <c r="C147" s="35">
        <f>1.3*100</f>
      </c>
      <c r="D147" s="28">
        <f t="shared" si="11"/>
      </c>
      <c r="E147" s="29"/>
      <c r="F147" s="63">
        <f t="shared" si="12"/>
      </c>
      <c r="G147" s="64">
        <f t="shared" si="13"/>
      </c>
    </row>
    <row r="148" spans="1:7" ht="16">
      <c r="A148" s="62">
        <f t="shared" si="10"/>
      </c>
      <c r="B148" t="s" s="30">
        <v>25</v>
      </c>
      <c r="C148" s="35">
        <f>1.4*150</f>
      </c>
      <c r="D148" s="28">
        <f t="shared" si="11"/>
      </c>
      <c r="E148" s="29"/>
      <c r="F148" s="63">
        <f t="shared" si="12"/>
      </c>
      <c r="G148" s="64">
        <f t="shared" si="13"/>
      </c>
    </row>
    <row r="149" spans="1:7" ht="16">
      <c r="A149" s="62">
        <f t="shared" si="10"/>
      </c>
      <c r="B149" t="s" s="30">
        <v>26</v>
      </c>
      <c r="C149" s="35">
        <f>1.45*100</f>
      </c>
      <c r="D149" s="28">
        <f t="shared" si="11"/>
      </c>
      <c r="E149" s="29"/>
      <c r="F149" s="63">
        <f t="shared" si="12"/>
      </c>
      <c r="G149" s="64">
        <f t="shared" si="13"/>
      </c>
    </row>
    <row r="150" spans="1:7" ht="16">
      <c r="A150" s="62">
        <f t="shared" si="10"/>
      </c>
      <c r="B150" t="s" s="30">
        <v>27</v>
      </c>
      <c r="C150" s="35">
        <f>1.55*150</f>
      </c>
      <c r="D150" s="28">
        <f t="shared" si="11"/>
      </c>
      <c r="E150" s="29"/>
      <c r="F150" s="63">
        <f t="shared" si="12"/>
      </c>
      <c r="G150" s="64">
        <f t="shared" si="13"/>
      </c>
    </row>
    <row r="151" spans="1:7" ht="16">
      <c r="A151" s="62">
        <f t="shared" si="10"/>
      </c>
      <c r="B151" t="s" s="30">
        <v>28</v>
      </c>
      <c r="C151" s="35">
        <f>1.55*100</f>
      </c>
      <c r="D151" s="28">
        <f t="shared" si="11"/>
      </c>
      <c r="E151" s="29"/>
      <c r="F151" s="63">
        <f t="shared" si="12"/>
      </c>
      <c r="G151" s="64">
        <f t="shared" si="13"/>
      </c>
    </row>
    <row r="152" spans="1:7" ht="16">
      <c r="A152" s="62">
        <f t="shared" si="10"/>
      </c>
      <c r="B152" t="s" s="30">
        <v>29</v>
      </c>
      <c r="C152" s="35">
        <f>1.7*150</f>
      </c>
      <c r="D152" s="28">
        <f t="shared" si="11"/>
      </c>
      <c r="E152" s="29"/>
      <c r="F152" s="63">
        <f t="shared" si="12"/>
      </c>
      <c r="G152" s="64">
        <f t="shared" si="13"/>
      </c>
    </row>
    <row r="153" spans="1:7" ht="16">
      <c r="A153" s="62">
        <f t="shared" si="10"/>
      </c>
      <c r="B153" t="s" s="30">
        <v>30</v>
      </c>
      <c r="C153" s="35">
        <f>1.7*100</f>
      </c>
      <c r="D153" s="28">
        <f t="shared" si="11"/>
      </c>
      <c r="E153" s="29"/>
      <c r="F153" s="63">
        <f t="shared" si="12"/>
      </c>
      <c r="G153" s="64">
        <f t="shared" si="13"/>
      </c>
    </row>
    <row r="154" spans="1:7" ht="16">
      <c r="A154" s="62">
        <f t="shared" si="10"/>
      </c>
      <c r="B154" t="s" s="30">
        <v>31</v>
      </c>
      <c r="C154" s="35">
        <f>2.1*150</f>
      </c>
      <c r="D154" s="28">
        <f t="shared" si="11"/>
      </c>
      <c r="E154" s="29"/>
      <c r="F154" s="63">
        <f t="shared" si="12"/>
      </c>
      <c r="G154" s="64">
        <f t="shared" si="13"/>
      </c>
    </row>
    <row r="155" spans="1:7" ht="16">
      <c r="A155" s="62">
        <f t="shared" si="10"/>
      </c>
      <c r="B155" t="s" s="30">
        <v>32</v>
      </c>
      <c r="C155" s="35">
        <f>2.65*100</f>
      </c>
      <c r="D155" s="28">
        <f t="shared" si="11"/>
      </c>
      <c r="E155" s="29"/>
      <c r="F155" s="63">
        <f t="shared" si="12"/>
      </c>
      <c r="G155" s="64">
        <f t="shared" si="13"/>
      </c>
    </row>
    <row r="156" spans="1:7" ht="16">
      <c r="A156" s="62">
        <f t="shared" si="10"/>
      </c>
      <c r="B156" t="s" s="30">
        <v>33</v>
      </c>
      <c r="C156" s="35">
        <f>3.5*150</f>
      </c>
      <c r="D156" s="28">
        <f t="shared" si="11"/>
      </c>
      <c r="E156" s="29"/>
      <c r="F156" s="63">
        <f t="shared" si="12"/>
      </c>
      <c r="G156" s="64">
        <f t="shared" si="13"/>
      </c>
    </row>
    <row r="157" spans="1:7" ht="16">
      <c r="A157" s="62">
        <f t="shared" si="10"/>
      </c>
      <c r="B157" t="s" s="30">
        <v>34</v>
      </c>
      <c r="C157" s="35">
        <f>3.5*100</f>
      </c>
      <c r="D157" s="28">
        <f t="shared" si="11"/>
      </c>
      <c r="E157" s="29"/>
      <c r="F157" s="63">
        <f t="shared" si="12"/>
      </c>
      <c r="G157" s="64">
        <f t="shared" si="13"/>
      </c>
    </row>
    <row r="158" spans="1:7" ht="16">
      <c r="A158" s="62">
        <f t="shared" si="10"/>
      </c>
      <c r="B158" t="s" s="30">
        <v>35</v>
      </c>
      <c r="C158" s="35">
        <f>3.5*150</f>
      </c>
      <c r="D158" s="28">
        <f t="shared" si="11"/>
      </c>
      <c r="E158" s="29"/>
      <c r="F158" s="63">
        <f t="shared" si="12"/>
      </c>
      <c r="G158" s="64">
        <f t="shared" si="13"/>
      </c>
    </row>
    <row r="159" spans="1:7" ht="16">
      <c r="A159" s="62">
        <f t="shared" si="10"/>
      </c>
      <c r="B159" t="s" s="30">
        <v>36</v>
      </c>
      <c r="C159" s="35">
        <f>3.5*100</f>
      </c>
      <c r="D159" s="28">
        <f t="shared" si="11"/>
      </c>
      <c r="E159" s="29"/>
      <c r="F159" s="63">
        <f t="shared" si="12"/>
      </c>
      <c r="G159" s="64">
        <f t="shared" si="13"/>
      </c>
    </row>
    <row r="160" spans="1:7" ht="16">
      <c r="A160" s="62">
        <f t="shared" si="10"/>
      </c>
      <c r="B160" t="s" s="30">
        <v>37</v>
      </c>
      <c r="C160" s="35">
        <f>3.5*150</f>
      </c>
      <c r="D160" s="28">
        <f t="shared" si="11"/>
      </c>
      <c r="E160" s="29"/>
      <c r="F160" s="63">
        <f t="shared" si="12"/>
      </c>
      <c r="G160" s="64">
        <f t="shared" si="13"/>
      </c>
    </row>
    <row r="161" spans="1:7" ht="16">
      <c r="A161" s="62">
        <f t="shared" si="10"/>
      </c>
      <c r="B161" t="s" s="30">
        <v>38</v>
      </c>
      <c r="C161" s="35">
        <f>3.5*100</f>
      </c>
      <c r="D161" s="28">
        <f t="shared" si="11"/>
      </c>
      <c r="E161" s="29"/>
      <c r="F161" s="63">
        <f t="shared" si="12"/>
      </c>
      <c r="G161" s="64">
        <f t="shared" si="13"/>
      </c>
    </row>
    <row r="162" spans="1:7" ht="16">
      <c r="A162" s="62">
        <f t="shared" si="10"/>
      </c>
      <c r="B162" t="s" s="30">
        <v>39</v>
      </c>
      <c r="C162" s="35">
        <f>3.5*150</f>
      </c>
      <c r="D162" s="28">
        <f t="shared" si="11"/>
      </c>
      <c r="E162" s="29"/>
      <c r="F162" s="63">
        <f t="shared" si="12"/>
      </c>
      <c r="G162" s="64">
        <f t="shared" si="13"/>
      </c>
    </row>
    <row r="163" spans="1:7" ht="16">
      <c r="A163" s="62">
        <f t="shared" si="10"/>
      </c>
      <c r="B163" t="s" s="30">
        <v>40</v>
      </c>
      <c r="C163" s="35">
        <f>3.5*100</f>
      </c>
      <c r="D163" s="28">
        <f t="shared" si="11"/>
      </c>
      <c r="E163" s="29"/>
      <c r="F163" s="63">
        <f t="shared" si="12"/>
      </c>
      <c r="G163" s="64">
        <f t="shared" si="13"/>
      </c>
    </row>
    <row r="164" spans="1:7" ht="16">
      <c r="A164" s="62">
        <f t="shared" si="10"/>
      </c>
      <c r="B164" t="s" s="30">
        <v>41</v>
      </c>
      <c r="C164" s="35">
        <f>3.5*150</f>
      </c>
      <c r="D164" s="28">
        <f t="shared" si="11"/>
      </c>
      <c r="E164" s="29"/>
      <c r="F164" s="63">
        <f t="shared" si="12"/>
      </c>
      <c r="G164" s="64">
        <f t="shared" si="13"/>
      </c>
    </row>
    <row r="165" spans="1:7" ht="16">
      <c r="A165" s="62">
        <f t="shared" si="10"/>
      </c>
      <c r="B165" t="s" s="30">
        <v>42</v>
      </c>
      <c r="C165" s="35">
        <f>3.5*100</f>
      </c>
      <c r="D165" s="28">
        <f t="shared" si="11"/>
      </c>
      <c r="E165" s="29"/>
      <c r="F165" s="63">
        <f t="shared" si="12"/>
      </c>
      <c r="G165" s="64">
        <f t="shared" si="13"/>
      </c>
    </row>
    <row r="166" spans="1:7" ht="16">
      <c r="A166" s="62">
        <f t="shared" si="10"/>
      </c>
      <c r="B166" t="s" s="30">
        <v>43</v>
      </c>
      <c r="C166" s="35">
        <f>6*150</f>
      </c>
      <c r="D166" s="28">
        <f t="shared" si="11"/>
      </c>
      <c r="E166" s="29"/>
      <c r="F166" s="63">
        <f t="shared" si="12"/>
      </c>
      <c r="G166" s="64">
        <f t="shared" si="13"/>
      </c>
    </row>
    <row r="167" spans="1:7" ht="16">
      <c r="A167" s="62">
        <f t="shared" si="10"/>
      </c>
      <c r="B167" t="s" s="30">
        <v>44</v>
      </c>
      <c r="C167" s="35">
        <f>6*100</f>
      </c>
      <c r="D167" s="28">
        <f t="shared" si="11"/>
      </c>
      <c r="E167" s="29"/>
      <c r="F167" s="63">
        <f t="shared" si="12"/>
      </c>
      <c r="G167" s="64">
        <f t="shared" si="13"/>
      </c>
    </row>
    <row r="168" spans="1:7" ht="16">
      <c r="A168" s="62">
        <f t="shared" si="10"/>
      </c>
      <c r="B168" t="s" s="30">
        <v>45</v>
      </c>
      <c r="C168" s="35">
        <f>6*150</f>
      </c>
      <c r="D168" s="28">
        <f t="shared" si="11"/>
      </c>
      <c r="E168" s="29"/>
      <c r="F168" s="63">
        <f t="shared" si="12"/>
      </c>
      <c r="G168" s="64">
        <f t="shared" si="13"/>
      </c>
    </row>
    <row r="169" spans="1:7" ht="16">
      <c r="A169" s="62">
        <f t="shared" si="10"/>
      </c>
      <c r="B169" t="s" s="30">
        <v>46</v>
      </c>
      <c r="C169" s="35">
        <f>6*100</f>
      </c>
      <c r="D169" s="28">
        <f t="shared" si="11"/>
      </c>
      <c r="E169" s="29"/>
      <c r="F169" s="63">
        <f t="shared" si="12"/>
      </c>
      <c r="G169" s="64">
        <f t="shared" si="13"/>
      </c>
    </row>
    <row r="170" spans="1:7" ht="16">
      <c r="A170" s="62">
        <f t="shared" si="10"/>
      </c>
      <c r="B170" t="s" s="30">
        <v>47</v>
      </c>
      <c r="C170" s="35">
        <f>6*150</f>
      </c>
      <c r="D170" s="28">
        <f t="shared" si="11"/>
      </c>
      <c r="E170" s="29"/>
      <c r="F170" s="63">
        <f t="shared" si="12"/>
      </c>
      <c r="G170" s="64">
        <f t="shared" si="13"/>
      </c>
    </row>
    <row r="171" spans="1:7" ht="16">
      <c r="A171" s="62">
        <f t="shared" si="10"/>
      </c>
      <c r="B171" t="s" s="30">
        <v>48</v>
      </c>
      <c r="C171" s="35">
        <f>6*100</f>
      </c>
      <c r="D171" s="28">
        <f t="shared" si="11"/>
      </c>
      <c r="E171" s="29"/>
      <c r="F171" s="63">
        <f t="shared" si="12"/>
      </c>
      <c r="G171" s="64">
        <f t="shared" si="13"/>
      </c>
    </row>
    <row r="172" spans="1:7" ht="16">
      <c r="A172" s="62">
        <f t="shared" si="10"/>
      </c>
      <c r="B172" t="s" s="30">
        <v>49</v>
      </c>
      <c r="C172" s="35">
        <f>6*150</f>
      </c>
      <c r="D172" s="28">
        <f t="shared" si="11"/>
      </c>
      <c r="E172" s="29"/>
      <c r="F172" s="63">
        <f t="shared" si="12"/>
      </c>
      <c r="G172" s="64">
        <f t="shared" si="13"/>
      </c>
    </row>
    <row r="173" spans="1:7" ht="16">
      <c r="A173" s="62">
        <f t="shared" si="10"/>
      </c>
      <c r="B173" t="s" s="30">
        <v>50</v>
      </c>
      <c r="C173" s="35">
        <f>6*100</f>
      </c>
      <c r="D173" s="28">
        <f t="shared" si="11"/>
      </c>
      <c r="E173" s="29"/>
      <c r="F173" s="63">
        <f t="shared" si="12"/>
      </c>
      <c r="G173" s="64">
        <f t="shared" si="13"/>
      </c>
    </row>
    <row r="174" spans="1:7" ht="16">
      <c r="A174" s="62">
        <f t="shared" si="10"/>
      </c>
      <c r="B174" t="s" s="30">
        <v>51</v>
      </c>
      <c r="C174" s="35">
        <f>6*150</f>
      </c>
      <c r="D174" s="28">
        <f t="shared" si="11"/>
      </c>
      <c r="E174" s="29"/>
      <c r="F174" s="63">
        <f t="shared" si="12"/>
      </c>
      <c r="G174" s="64">
        <f t="shared" si="13"/>
      </c>
    </row>
    <row r="175" spans="1:7" ht="16">
      <c r="A175" s="62">
        <f t="shared" si="10"/>
      </c>
      <c r="B175" t="s" s="30">
        <v>52</v>
      </c>
      <c r="C175" s="35">
        <f>6*100</f>
      </c>
      <c r="D175" s="28">
        <f t="shared" si="11"/>
      </c>
      <c r="E175" s="29"/>
      <c r="F175" s="63">
        <f t="shared" si="12"/>
      </c>
      <c r="G175" s="64">
        <f t="shared" si="13"/>
      </c>
    </row>
    <row r="176" spans="1:7" ht="16">
      <c r="A176" s="62">
        <f t="shared" si="10"/>
      </c>
      <c r="B176" t="s" s="30">
        <v>53</v>
      </c>
      <c r="C176" s="35">
        <f>6*150</f>
      </c>
      <c r="D176" s="28">
        <f t="shared" si="11"/>
      </c>
      <c r="E176" s="29"/>
      <c r="F176" s="63">
        <f t="shared" si="12"/>
      </c>
      <c r="G176" s="64">
        <f t="shared" si="13"/>
      </c>
    </row>
    <row r="177" spans="1:7" ht="16">
      <c r="A177" s="62">
        <f t="shared" si="10"/>
      </c>
      <c r="B177" t="s" s="30">
        <v>54</v>
      </c>
      <c r="C177" s="35">
        <f>6*100</f>
      </c>
      <c r="D177" s="28">
        <f t="shared" si="11"/>
      </c>
      <c r="E177" s="29"/>
      <c r="F177" s="63">
        <f t="shared" si="12"/>
      </c>
      <c r="G177" s="64">
        <f t="shared" si="13"/>
      </c>
    </row>
    <row r="178" spans="1:7" ht="16">
      <c r="A178" s="62">
        <f t="shared" si="10"/>
      </c>
      <c r="B178" t="s" s="30">
        <v>55</v>
      </c>
      <c r="C178" s="35">
        <f>6*150</f>
      </c>
      <c r="D178" s="28">
        <f t="shared" si="11"/>
      </c>
      <c r="E178" s="29"/>
      <c r="F178" s="63">
        <f t="shared" si="12"/>
      </c>
      <c r="G178" s="64">
        <f t="shared" si="13"/>
      </c>
    </row>
    <row r="179" spans="1:7" ht="16">
      <c r="A179" s="62">
        <f t="shared" si="10"/>
      </c>
      <c r="B179" t="s" s="30">
        <v>56</v>
      </c>
      <c r="C179" s="35">
        <f>8*100</f>
      </c>
      <c r="D179" s="28">
        <f t="shared" si="11"/>
      </c>
      <c r="E179" s="29"/>
      <c r="F179" s="63">
        <f t="shared" si="12"/>
      </c>
      <c r="G179" s="64">
        <f t="shared" si="13"/>
      </c>
    </row>
    <row r="180" spans="1:7" ht="16">
      <c r="A180" s="62">
        <f t="shared" si="10"/>
      </c>
      <c r="B180" t="s" s="30">
        <v>57</v>
      </c>
      <c r="C180" s="35">
        <f>8*150</f>
      </c>
      <c r="D180" s="28">
        <f t="shared" si="11"/>
      </c>
      <c r="E180" s="29"/>
      <c r="F180" s="63">
        <f t="shared" si="12"/>
      </c>
      <c r="G180" s="64">
        <f t="shared" si="13"/>
      </c>
    </row>
    <row r="181" spans="1:7" ht="16">
      <c r="A181" s="62">
        <f t="shared" si="10"/>
      </c>
      <c r="B181" t="s" s="30">
        <v>58</v>
      </c>
      <c r="C181" s="35">
        <f>8*100</f>
      </c>
      <c r="D181" s="28">
        <f t="shared" si="11"/>
      </c>
      <c r="E181" s="29"/>
      <c r="F181" s="63">
        <f t="shared" si="12"/>
      </c>
      <c r="G181" s="64">
        <f t="shared" si="13"/>
      </c>
    </row>
    <row r="182" spans="1:7" ht="16">
      <c r="A182" s="62">
        <f t="shared" si="10"/>
      </c>
      <c r="B182" t="s" s="30">
        <v>59</v>
      </c>
      <c r="C182" s="28">
        <v>0</v>
      </c>
      <c r="D182" s="28">
        <f t="shared" si="11"/>
      </c>
      <c r="E182" s="29"/>
      <c r="F182" s="63">
        <f t="shared" si="12"/>
      </c>
      <c r="G182" s="64">
        <f t="shared" si="13"/>
      </c>
    </row>
    <row r="183" spans="1:7" ht="16">
      <c r="A183" s="62">
        <f t="shared" si="10"/>
      </c>
      <c r="B183" t="s" s="30">
        <v>60</v>
      </c>
      <c r="C183" s="28">
        <f t="shared" ref="C183:C188" si="14">C65</f>
      </c>
      <c r="D183" s="28">
        <f t="shared" si="11"/>
      </c>
      <c r="E183" s="29"/>
      <c r="F183" s="63">
        <f t="shared" si="12"/>
      </c>
      <c r="G183" s="64">
        <f t="shared" si="13"/>
      </c>
    </row>
    <row r="184" spans="1:7" ht="16">
      <c r="A184" s="62">
        <f t="shared" si="10"/>
      </c>
      <c r="B184" t="s" s="30">
        <v>61</v>
      </c>
      <c r="C184" s="28">
        <f t="shared" si="14"/>
      </c>
      <c r="D184" s="28">
        <f t="shared" si="11"/>
      </c>
      <c r="E184" s="29"/>
      <c r="F184" s="63">
        <f t="shared" si="12"/>
      </c>
      <c r="G184" s="64">
        <f t="shared" si="13"/>
      </c>
    </row>
    <row r="185" spans="1:7" ht="16">
      <c r="A185" s="62">
        <f t="shared" si="10"/>
      </c>
      <c r="B185" t="s" s="30">
        <v>62</v>
      </c>
      <c r="C185" s="28">
        <f t="shared" si="14"/>
      </c>
      <c r="D185" s="28">
        <f t="shared" si="11"/>
      </c>
      <c r="E185" s="29"/>
      <c r="F185" s="63">
        <f t="shared" si="12"/>
      </c>
      <c r="G185" s="64">
        <f t="shared" si="13"/>
      </c>
    </row>
    <row r="186" spans="1:7" ht="16">
      <c r="A186" s="62">
        <f t="shared" si="10"/>
      </c>
      <c r="B186" t="s" s="30">
        <v>63</v>
      </c>
      <c r="C186" s="28">
        <f t="shared" si="14"/>
      </c>
      <c r="D186" s="28">
        <f t="shared" si="11"/>
      </c>
      <c r="E186" s="29"/>
      <c r="F186" s="63">
        <f t="shared" si="12"/>
      </c>
      <c r="G186" s="64">
        <f t="shared" si="13"/>
      </c>
    </row>
    <row r="187" spans="1:7" ht="16">
      <c r="A187" s="62">
        <f t="shared" si="10"/>
      </c>
      <c r="B187" t="s" s="30">
        <v>64</v>
      </c>
      <c r="C187" s="28">
        <f t="shared" si="14"/>
      </c>
      <c r="D187" s="28">
        <f t="shared" si="11"/>
      </c>
      <c r="E187" s="29">
        <f t="shared" ref="E187:E218" si="15">E188+6</f>
      </c>
      <c r="F187" s="63">
        <f t="shared" si="12"/>
      </c>
      <c r="G187" s="64">
        <f t="shared" si="13"/>
      </c>
    </row>
    <row r="188" spans="1:7" ht="16">
      <c r="A188" s="62">
        <f t="shared" si="10"/>
      </c>
      <c r="B188" t="s" s="30">
        <v>65</v>
      </c>
      <c r="C188" s="28">
        <f t="shared" si="14"/>
      </c>
      <c r="D188" s="28">
        <f t="shared" si="11"/>
      </c>
      <c r="E188" s="29">
        <f t="shared" si="15"/>
      </c>
      <c r="F188" s="63">
        <f t="shared" si="12"/>
      </c>
      <c r="G188" s="64">
        <f t="shared" si="13"/>
      </c>
    </row>
    <row r="189" spans="1:7" ht="16">
      <c r="A189" s="62">
        <f t="shared" si="10"/>
      </c>
      <c r="B189" t="s" s="30">
        <v>66</v>
      </c>
      <c r="C189" s="28">
        <v>1000</v>
      </c>
      <c r="D189" s="28">
        <f t="shared" si="11"/>
      </c>
      <c r="E189" s="29">
        <f t="shared" si="15"/>
      </c>
      <c r="F189" s="63">
        <f t="shared" si="12"/>
      </c>
      <c r="G189" s="64">
        <f t="shared" si="13"/>
      </c>
    </row>
    <row r="190" spans="1:7" ht="16">
      <c r="A190" s="62">
        <f t="shared" si="10"/>
      </c>
      <c r="B190" t="s" s="30">
        <v>67</v>
      </c>
      <c r="C190" s="28">
        <v>1500</v>
      </c>
      <c r="D190" s="28">
        <f t="shared" si="11"/>
      </c>
      <c r="E190" s="29">
        <f t="shared" si="15"/>
      </c>
      <c r="F190" s="63">
        <f t="shared" si="12"/>
      </c>
      <c r="G190" s="64">
        <f t="shared" si="13"/>
      </c>
    </row>
    <row r="191" spans="1:7" ht="16">
      <c r="A191" s="62">
        <f t="shared" si="10"/>
      </c>
      <c r="B191" t="s" s="30">
        <v>68</v>
      </c>
      <c r="C191" s="28">
        <f t="shared" ref="C191:C199" si="16">C189</f>
      </c>
      <c r="D191" s="28">
        <f t="shared" si="11"/>
      </c>
      <c r="E191" s="29">
        <f t="shared" si="15"/>
      </c>
      <c r="F191" s="63">
        <f t="shared" si="12"/>
      </c>
      <c r="G191" s="64">
        <f t="shared" si="13"/>
      </c>
    </row>
    <row r="192" spans="1:7" ht="16">
      <c r="A192" s="62">
        <f t="shared" si="10"/>
      </c>
      <c r="B192" t="s" s="30">
        <v>69</v>
      </c>
      <c r="C192" s="28">
        <f t="shared" si="16"/>
      </c>
      <c r="D192" s="28">
        <f t="shared" si="11"/>
      </c>
      <c r="E192" s="29">
        <f t="shared" si="15"/>
      </c>
      <c r="F192" s="63">
        <f t="shared" si="12"/>
      </c>
      <c r="G192" s="64">
        <f t="shared" si="13"/>
      </c>
    </row>
    <row r="193" spans="1:7" ht="16">
      <c r="A193" s="62">
        <f t="shared" si="10"/>
      </c>
      <c r="B193" t="s" s="30">
        <v>70</v>
      </c>
      <c r="C193" s="28">
        <f t="shared" si="16"/>
      </c>
      <c r="D193" s="28">
        <f t="shared" si="11"/>
      </c>
      <c r="E193" s="29">
        <f t="shared" si="15"/>
      </c>
      <c r="F193" s="63">
        <f t="shared" si="12"/>
      </c>
      <c r="G193" s="64">
        <f t="shared" si="13"/>
      </c>
    </row>
    <row r="194" spans="1:7" ht="16">
      <c r="A194" s="62">
        <f t="shared" si="10"/>
      </c>
      <c r="B194" t="s" s="30">
        <v>71</v>
      </c>
      <c r="C194" s="28">
        <f t="shared" si="16"/>
      </c>
      <c r="D194" s="28">
        <f t="shared" si="11"/>
      </c>
      <c r="E194" s="29">
        <f t="shared" si="15"/>
      </c>
      <c r="F194" s="63">
        <f t="shared" si="12"/>
      </c>
      <c r="G194" s="64">
        <f t="shared" si="13"/>
      </c>
    </row>
    <row r="195" spans="1:7" ht="16">
      <c r="A195" s="62">
        <f t="shared" si="10"/>
      </c>
      <c r="B195" t="s" s="30">
        <v>72</v>
      </c>
      <c r="C195" s="28">
        <f t="shared" si="16"/>
      </c>
      <c r="D195" s="28">
        <f t="shared" si="11"/>
      </c>
      <c r="E195" s="31">
        <f t="shared" si="15"/>
      </c>
      <c r="F195" s="63">
        <f t="shared" si="12"/>
      </c>
      <c r="G195" s="64">
        <f t="shared" si="13"/>
      </c>
    </row>
    <row r="196" spans="1:7" ht="16">
      <c r="A196" s="62">
        <f t="shared" si="10"/>
      </c>
      <c r="B196" t="s" s="30">
        <v>73</v>
      </c>
      <c r="C196" s="28">
        <f t="shared" si="16"/>
      </c>
      <c r="D196" s="28">
        <f t="shared" si="11"/>
      </c>
      <c r="E196" s="29">
        <f t="shared" si="15"/>
      </c>
      <c r="F196" s="63">
        <f t="shared" si="12"/>
      </c>
      <c r="G196" s="64">
        <f t="shared" si="13"/>
      </c>
    </row>
    <row r="197" spans="1:7" ht="16">
      <c r="A197" s="62">
        <f t="shared" si="10"/>
      </c>
      <c r="B197" t="s" s="30">
        <v>74</v>
      </c>
      <c r="C197" s="28">
        <f t="shared" si="16"/>
      </c>
      <c r="D197" s="28">
        <f t="shared" si="11"/>
      </c>
      <c r="E197" s="31">
        <f t="shared" si="15"/>
      </c>
      <c r="F197" s="63">
        <f t="shared" si="12"/>
      </c>
      <c r="G197" s="64">
        <f t="shared" si="13"/>
      </c>
    </row>
    <row r="198" spans="1:7" ht="16">
      <c r="A198" s="62">
        <f t="shared" si="10"/>
      </c>
      <c r="B198" t="s" s="30">
        <v>75</v>
      </c>
      <c r="C198" s="28">
        <f t="shared" si="16"/>
      </c>
      <c r="D198" s="28">
        <f t="shared" si="11"/>
      </c>
      <c r="E198" s="31">
        <f t="shared" si="15"/>
      </c>
      <c r="F198" s="63">
        <f t="shared" si="12"/>
      </c>
      <c r="G198" s="64">
        <f t="shared" si="13"/>
      </c>
    </row>
    <row r="199" spans="1:7" ht="16">
      <c r="A199" s="62">
        <f t="shared" si="10"/>
      </c>
      <c r="B199" t="s" s="30">
        <v>76</v>
      </c>
      <c r="C199" s="28">
        <f t="shared" si="16"/>
      </c>
      <c r="D199" s="28">
        <f t="shared" si="11"/>
      </c>
      <c r="E199" s="31">
        <f t="shared" si="15"/>
      </c>
      <c r="F199" s="63">
        <f t="shared" si="12"/>
      </c>
      <c r="G199" s="64">
        <f t="shared" si="13"/>
      </c>
    </row>
    <row r="200" spans="1:7" ht="16">
      <c r="A200" s="65">
        <f t="shared" si="10"/>
      </c>
      <c r="B200" t="s" s="30">
        <v>77</v>
      </c>
      <c r="C200" s="28">
        <f>11*150</f>
      </c>
      <c r="D200" s="28">
        <f t="shared" si="11"/>
      </c>
      <c r="E200" s="31">
        <f t="shared" si="15"/>
      </c>
      <c r="F200" s="63">
        <f t="shared" si="12"/>
      </c>
      <c r="G200" s="64">
        <f t="shared" si="13"/>
      </c>
    </row>
    <row r="201" spans="1:7" ht="16">
      <c r="A201" s="66">
        <f t="shared" ref="A201:A219" si="17">A83</f>
      </c>
      <c r="B201" t="s" s="27">
        <v>78</v>
      </c>
      <c r="C201" s="28">
        <f>11*100</f>
      </c>
      <c r="D201" s="28">
        <f t="shared" ref="D201:D219" si="18">A201*C201</f>
      </c>
      <c r="E201" s="31">
        <f t="shared" si="15"/>
      </c>
      <c r="F201" s="63">
        <f t="shared" ref="F201:F219" si="19">D201*E201/100</f>
      </c>
      <c r="G201" s="64">
        <f t="shared" ref="G201:G219" si="20">D201+F201</f>
      </c>
    </row>
    <row r="202" spans="1:7" ht="16">
      <c r="A202" s="66">
        <f t="shared" si="17"/>
      </c>
      <c r="B202" t="s" s="67">
        <v>79</v>
      </c>
      <c r="C202" s="28">
        <f>C200</f>
      </c>
      <c r="D202" s="28">
        <f t="shared" si="18"/>
      </c>
      <c r="E202" s="31">
        <f t="shared" si="15"/>
      </c>
      <c r="F202" s="63">
        <f t="shared" si="19"/>
      </c>
      <c r="G202" s="64">
        <f t="shared" si="20"/>
      </c>
    </row>
    <row r="203" spans="1:7" ht="16">
      <c r="A203" s="68">
        <f t="shared" si="17"/>
      </c>
      <c r="B203" t="s" s="36">
        <v>80</v>
      </c>
      <c r="C203" s="69">
        <f>C201</f>
      </c>
      <c r="D203" s="28">
        <f t="shared" si="18"/>
      </c>
      <c r="E203" s="31">
        <f t="shared" si="15"/>
      </c>
      <c r="F203" s="63">
        <f t="shared" si="19"/>
      </c>
      <c r="G203" s="64">
        <f t="shared" si="20"/>
      </c>
    </row>
    <row r="204" spans="1:7" ht="16">
      <c r="A204" s="66">
        <f t="shared" si="17"/>
      </c>
      <c r="B204" t="s" s="34">
        <v>81</v>
      </c>
      <c r="C204" s="35">
        <f>C86</f>
      </c>
      <c r="D204" s="28">
        <f t="shared" si="18"/>
      </c>
      <c r="E204" s="31">
        <f t="shared" si="15"/>
      </c>
      <c r="F204" s="63">
        <f t="shared" si="19"/>
      </c>
      <c r="G204" s="64">
        <f t="shared" si="20"/>
      </c>
    </row>
    <row r="205" spans="1:7" ht="16">
      <c r="A205" s="66">
        <f t="shared" si="17"/>
      </c>
      <c r="B205" t="s" s="34">
        <v>82</v>
      </c>
      <c r="C205" s="35">
        <f>15*100</f>
      </c>
      <c r="D205" s="28">
        <f t="shared" si="18"/>
      </c>
      <c r="E205" s="31">
        <f t="shared" si="15"/>
      </c>
      <c r="F205" s="63">
        <f t="shared" si="19"/>
      </c>
      <c r="G205" s="64">
        <f t="shared" si="20"/>
      </c>
    </row>
    <row r="206" spans="1:7" ht="16">
      <c r="A206" s="66">
        <f t="shared" si="17"/>
      </c>
      <c r="B206" t="s" s="34">
        <v>83</v>
      </c>
      <c r="C206" s="35">
        <f>C204</f>
      </c>
      <c r="D206" s="28">
        <f t="shared" si="18"/>
      </c>
      <c r="E206" s="31">
        <f t="shared" si="15"/>
      </c>
      <c r="F206" s="63">
        <f t="shared" si="19"/>
      </c>
      <c r="G206" s="64">
        <f t="shared" si="20"/>
      </c>
    </row>
    <row r="207" spans="1:7" ht="16">
      <c r="A207" s="66">
        <f t="shared" si="17"/>
      </c>
      <c r="B207" t="s" s="34">
        <v>84</v>
      </c>
      <c r="C207" s="35">
        <f>C205</f>
      </c>
      <c r="D207" s="28">
        <f t="shared" si="18"/>
      </c>
      <c r="E207" s="31">
        <f t="shared" si="15"/>
      </c>
      <c r="F207" s="63">
        <f t="shared" si="19"/>
      </c>
      <c r="G207" s="64">
        <f t="shared" si="20"/>
      </c>
    </row>
    <row r="208" spans="1:7" ht="16">
      <c r="A208" s="66">
        <f t="shared" si="17"/>
      </c>
      <c r="B208" t="s" s="34">
        <v>85</v>
      </c>
      <c r="C208" s="35">
        <f>C206</f>
      </c>
      <c r="D208" s="28">
        <f t="shared" si="18"/>
      </c>
      <c r="E208" s="31">
        <f t="shared" si="15"/>
      </c>
      <c r="F208" s="63">
        <f t="shared" si="19"/>
      </c>
      <c r="G208" s="64">
        <f t="shared" si="20"/>
      </c>
    </row>
    <row r="209" spans="1:7" ht="16">
      <c r="A209" s="70">
        <f t="shared" si="17"/>
      </c>
      <c r="B209" t="s" s="34">
        <v>86</v>
      </c>
      <c r="C209" s="71">
        <v>1500</v>
      </c>
      <c r="D209" s="28">
        <f t="shared" si="18"/>
      </c>
      <c r="E209" s="31">
        <f t="shared" si="15"/>
      </c>
      <c r="F209" s="63">
        <f t="shared" si="19"/>
      </c>
      <c r="G209" s="64">
        <f t="shared" si="20"/>
      </c>
    </row>
    <row r="210" spans="1:7" ht="16">
      <c r="A210" s="70">
        <f t="shared" si="17"/>
      </c>
      <c r="B210" t="s" s="34">
        <v>87</v>
      </c>
      <c r="C210" s="71">
        <v>2550</v>
      </c>
      <c r="D210" s="28">
        <f t="shared" si="18"/>
      </c>
      <c r="E210" s="31">
        <f t="shared" si="15"/>
      </c>
      <c r="F210" s="63">
        <f t="shared" si="19"/>
      </c>
      <c r="G210" s="64">
        <f t="shared" si="20"/>
      </c>
    </row>
    <row r="211" spans="1:7" ht="16">
      <c r="A211" s="70">
        <f t="shared" si="17"/>
      </c>
      <c r="B211" t="s" s="34">
        <v>88</v>
      </c>
      <c r="C211" s="71">
        <v>1700</v>
      </c>
      <c r="D211" s="28">
        <f t="shared" si="18"/>
      </c>
      <c r="E211" s="31">
        <f t="shared" si="15"/>
      </c>
      <c r="F211" s="63">
        <f t="shared" si="19"/>
      </c>
      <c r="G211" s="64">
        <f t="shared" si="20"/>
      </c>
    </row>
    <row r="212" spans="1:7" ht="16">
      <c r="A212" s="70">
        <f t="shared" si="17"/>
      </c>
      <c r="B212" t="s" s="34">
        <v>89</v>
      </c>
      <c r="C212" s="71">
        <f>17*150</f>
      </c>
      <c r="D212" s="28">
        <f t="shared" si="18"/>
      </c>
      <c r="E212" s="31">
        <f t="shared" si="15"/>
      </c>
      <c r="F212" s="63">
        <f t="shared" si="19"/>
      </c>
      <c r="G212" s="64">
        <f t="shared" si="20"/>
      </c>
    </row>
    <row r="213" spans="1:7" ht="16">
      <c r="A213" s="70">
        <f t="shared" si="17"/>
      </c>
      <c r="B213" t="s" s="34">
        <v>90</v>
      </c>
      <c r="C213" s="71">
        <f>17*100</f>
      </c>
      <c r="D213" s="28">
        <f t="shared" si="18"/>
      </c>
      <c r="E213" s="31">
        <f t="shared" si="15"/>
      </c>
      <c r="F213" s="63">
        <f t="shared" si="19"/>
      </c>
      <c r="G213" s="64">
        <f t="shared" si="20"/>
      </c>
    </row>
    <row r="214" spans="1:7" ht="16">
      <c r="A214" s="70">
        <f t="shared" si="17"/>
      </c>
      <c r="B214" t="s" s="34">
        <v>91</v>
      </c>
      <c r="C214" s="71">
        <f>C212</f>
      </c>
      <c r="D214" s="28">
        <f t="shared" si="18"/>
      </c>
      <c r="E214" s="31">
        <f t="shared" si="15"/>
      </c>
      <c r="F214" s="63">
        <f t="shared" si="19"/>
      </c>
      <c r="G214" s="64">
        <f t="shared" si="20"/>
      </c>
    </row>
    <row r="215" spans="1:7" ht="16">
      <c r="A215" s="70">
        <f t="shared" si="17"/>
      </c>
      <c r="B215" t="s" s="34">
        <v>92</v>
      </c>
      <c r="C215" s="71">
        <f>17*100</f>
      </c>
      <c r="D215" s="28">
        <f t="shared" si="18"/>
      </c>
      <c r="E215" s="31">
        <f t="shared" si="15"/>
      </c>
      <c r="F215" s="63">
        <f t="shared" si="19"/>
      </c>
      <c r="G215" s="64">
        <f t="shared" si="20"/>
      </c>
    </row>
    <row r="216" spans="1:7" ht="16">
      <c r="A216" s="70">
        <f t="shared" si="17"/>
      </c>
      <c r="B216" t="s" s="34">
        <v>93</v>
      </c>
      <c r="C216" s="35">
        <f>C214</f>
      </c>
      <c r="D216" s="28">
        <f t="shared" si="18"/>
      </c>
      <c r="E216" s="31">
        <f t="shared" si="15"/>
      </c>
      <c r="F216" s="63">
        <f t="shared" si="19"/>
      </c>
      <c r="G216" s="64">
        <f t="shared" si="20"/>
      </c>
    </row>
    <row r="217" spans="1:7" ht="16">
      <c r="A217" s="70">
        <f t="shared" si="17"/>
      </c>
      <c r="B217" t="s" s="34">
        <v>94</v>
      </c>
      <c r="C217" s="71">
        <f>17*100</f>
      </c>
      <c r="D217" s="28">
        <f t="shared" si="18"/>
      </c>
      <c r="E217" s="31">
        <f t="shared" si="15"/>
      </c>
      <c r="F217" s="63">
        <f t="shared" si="19"/>
      </c>
      <c r="G217" s="64">
        <f t="shared" si="20"/>
      </c>
    </row>
    <row r="218" spans="1:7" ht="16">
      <c r="A218" s="70">
        <f t="shared" si="17"/>
      </c>
      <c r="B218" t="s" s="34">
        <v>95</v>
      </c>
      <c r="C218" s="35">
        <f>C216</f>
      </c>
      <c r="D218" s="28">
        <f t="shared" si="18"/>
      </c>
      <c r="E218" s="31">
        <f t="shared" si="15"/>
      </c>
      <c r="F218" s="63">
        <f t="shared" si="19"/>
      </c>
      <c r="G218" s="64">
        <f t="shared" si="20"/>
      </c>
    </row>
    <row r="219" spans="1:7" ht="16">
      <c r="A219" s="70">
        <f t="shared" si="17"/>
      </c>
      <c r="B219" t="s" s="34">
        <v>96</v>
      </c>
      <c r="C219" s="71">
        <f>17*100</f>
      </c>
      <c r="D219" s="28">
        <f t="shared" si="18"/>
      </c>
      <c r="E219" s="31">
        <v>10</v>
      </c>
      <c r="F219" s="63">
        <f t="shared" si="19"/>
      </c>
      <c r="G219" s="40">
        <f t="shared" si="20"/>
      </c>
    </row>
    <row r="220" spans="1:7" ht="16">
      <c r="A220" t="s" s="229">
        <v>97</v>
      </c>
      <c r="B220" s="229"/>
      <c r="C220" s="229"/>
      <c r="D220" s="72">
        <f>SUM(D137:D219)</f>
      </c>
      <c r="E220" s="73"/>
      <c r="F220" s="72">
        <f>SUM(F137:F219)</f>
      </c>
      <c r="G220" s="72">
        <f>SUM(G137:G219)</f>
      </c>
    </row>
    <row r="221" spans="1:7">
      <c r="A221" t="s" s="74">
        <v>98</v>
      </c>
      <c r="B221" s="75"/>
      <c r="C221" s="75"/>
      <c r="D221" s="230"/>
      <c r="E221" s="230"/>
      <c r="F221" s="231"/>
      <c r="G221" s="40">
        <f>G103</f>
      </c>
    </row>
    <row r="222" spans="1:7" ht="23">
      <c r="A222" t="s" s="232">
        <v>99</v>
      </c>
      <c r="B222" s="232"/>
      <c r="C222" s="232"/>
      <c r="D222" s="232"/>
      <c r="E222" s="232"/>
      <c r="F222" s="233"/>
      <c r="G222" s="76">
        <f>G220+G221</f>
      </c>
    </row>
    <row r="223" spans="1:7">
      <c r="A223" t="s" s="46">
        <v>100</v>
      </c>
      <c r="B223" s="4"/>
      <c r="C223" s="4"/>
      <c r="D223" s="47"/>
      <c r="E223" s="48"/>
      <c r="F223" s="49"/>
      <c r="G223" s="50"/>
    </row>
    <row r="224" spans="1:7">
      <c r="A224" s="4"/>
      <c r="B224" s="4"/>
      <c r="C224" s="4"/>
      <c r="D224" s="47"/>
      <c r="E224" s="48"/>
      <c r="F224" s="49"/>
      <c r="G224" s="50"/>
    </row>
    <row r="225" spans="1:7">
      <c r="A225" t="s" s="4">
        <v>101</v>
      </c>
      <c r="B225" s="4"/>
      <c r="C225" t="s" s="4">
        <v>102</v>
      </c>
      <c r="D225" t="s" s="4">
        <v>103</v>
      </c>
      <c r="E225" s="4"/>
      <c r="F225" s="4"/>
      <c r="G225" t="s" s="4">
        <v>104</v>
      </c>
    </row>
    <row r="226" spans="1:7">
      <c r="A226" s="4"/>
      <c r="B226" s="4"/>
      <c r="C226" s="4"/>
      <c r="D226" s="4"/>
      <c r="E226" s="4"/>
      <c r="F226" s="4"/>
      <c r="G226" s="7"/>
    </row>
    <row r="227" spans="1:7">
      <c r="A227" s="77"/>
      <c r="B227" s="77"/>
      <c r="C227" t="s" s="58">
        <v>291</v>
      </c>
      <c r="D227" s="51"/>
      <c r="E227" t="s" s="218">
        <v>122</v>
      </c>
      <c r="F227" s="218"/>
      <c r="G227" t="s" s="51">
        <v>123</v>
      </c>
    </row>
    <row r="228" spans="1:7">
      <c r="A228" t="s" s="234">
        <v>124</v>
      </c>
      <c r="B228" s="234"/>
      <c r="C228" t="s" s="4">
        <v>125</v>
      </c>
      <c r="D228" s="4"/>
      <c r="E228" t="s" s="208">
        <v>126</v>
      </c>
      <c r="F228" s="208"/>
      <c r="G228" t="s" s="7">
        <v>112</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65C3-44B6-4263-8A65-0674C69C858C}">
  <sheetPr/>
  <sheetViews>
    <sheetView zoomScale="130" zoomScaleNormal="130" workbookViewId="0">
      <selection activeCell="C8" sqref="C8"/>
    </sheetView>
  </sheetViews>
  <sheetFormatPr baseColWidth="10" defaultColWidth="8.83203125" defaultRowHeight="15"/>
  <cols>
    <col min="1" max="1" width="3.33203125" style="106" bestFit="1" customWidth="1"/>
    <col min="2" max="2" width="27.6640625" bestFit="1" customWidth="1"/>
    <col min="3" max="3" width="23.1640625" bestFit="1" customWidth="1"/>
  </cols>
  <sheetData>
    <row r="1" spans="2:3" ht="16" thickBot="1"/>
    <row r="2" spans="2:3">
      <c r="B2" t="s" s="200">
        <v>198</v>
      </c>
      <c r="C2" s="201"/>
    </row>
    <row r="3" spans="2:3">
      <c r="B3" t="s" s="139">
        <v>190</v>
      </c>
      <c r="C3" s="146">
        <v>3809</v>
      </c>
    </row>
    <row r="4" spans="2:3">
      <c r="B4" t="s" s="139">
        <v>189</v>
      </c>
      <c r="C4" s="146">
        <f>'00 ACC DETAILS 01'!C4</f>
      </c>
    </row>
    <row r="5" spans="2:3">
      <c r="B5" t="s" s="139">
        <v>197</v>
      </c>
      <c r="C5" s="146">
        <f>'00 ACC DETAILS 01'!C5</f>
      </c>
    </row>
    <row r="6" spans="2:3">
      <c r="B6" t="s" s="139">
        <v>195</v>
      </c>
      <c r="C6" s="146"/>
    </row>
    <row r="7" spans="2:3">
      <c r="B7" t="s" s="147">
        <v>148</v>
      </c>
      <c r="C7" s="146">
        <f>'00 ACC DETAILS 01'!C7</f>
      </c>
    </row>
    <row r="8" spans="2:3">
      <c r="B8" t="s" s="147">
        <v>149</v>
      </c>
      <c r="C8" s="146">
        <f>'00 ACC DETAILS 01'!C8</f>
      </c>
    </row>
    <row r="9" spans="2:3">
      <c r="B9" t="s" s="147">
        <v>188</v>
      </c>
      <c r="C9" s="146">
        <f>'00 ACC DETAILS 01'!C9</f>
      </c>
    </row>
    <row r="10" spans="2:3">
      <c r="B10" t="s" s="139">
        <v>196</v>
      </c>
      <c r="C10" s="146"/>
    </row>
    <row r="11" spans="2:3">
      <c r="B11" t="s" s="147">
        <v>148</v>
      </c>
      <c r="C11" t="s" s="146">
        <v>172</v>
      </c>
    </row>
    <row r="12" spans="2:3">
      <c r="B12" t="s" s="147">
        <v>149</v>
      </c>
      <c r="C12" s="146"/>
    </row>
    <row r="13" spans="2:3">
      <c r="B13" t="s" s="147">
        <v>188</v>
      </c>
      <c r="C13" t="s" s="146">
        <v>171</v>
      </c>
    </row>
    <row r="14" spans="2:3">
      <c r="B14" t="s" s="139">
        <v>134</v>
      </c>
      <c r="C14" s="146"/>
    </row>
    <row r="15" spans="2:3">
      <c r="B15" t="s" s="147">
        <v>191</v>
      </c>
      <c r="C15" s="146">
        <f>'00 ACC DETAILS 01'!C15</f>
      </c>
    </row>
    <row r="16" spans="2:3">
      <c r="B16" t="s" s="147">
        <v>192</v>
      </c>
      <c r="C16" s="146">
        <f>'00 ACC DETAILS 01'!C16</f>
      </c>
    </row>
    <row r="17" spans="1:5">
      <c r="B17" t="s" s="147">
        <v>145</v>
      </c>
      <c r="C17" s="146">
        <f>'00 ACC DETAILS 01'!C17</f>
      </c>
    </row>
    <row r="18" spans="1:5">
      <c r="B18" t="s" s="139">
        <v>193</v>
      </c>
      <c r="C18" s="146"/>
    </row>
    <row r="19" spans="1:5">
      <c r="B19" t="s" s="147">
        <v>191</v>
      </c>
      <c r="C19" s="146">
        <f>'00 ACC DETAILS 01'!C19</f>
      </c>
    </row>
    <row r="20" spans="1:5">
      <c r="B20" t="s" s="147">
        <v>192</v>
      </c>
      <c r="C20" s="146">
        <f>'00 ACC DETAILS 01'!C20</f>
      </c>
    </row>
    <row r="21" spans="1:5">
      <c r="B21" t="s" s="147">
        <v>145</v>
      </c>
      <c r="C21" s="146">
        <f>'00 ACC DETAILS 01'!C21</f>
      </c>
    </row>
    <row r="22" spans="1:5">
      <c r="B22" t="s" s="139">
        <v>194</v>
      </c>
      <c r="C22" s="146"/>
    </row>
    <row r="23" spans="1:5">
      <c r="B23" t="s" s="147">
        <v>191</v>
      </c>
      <c r="C23" s="146">
        <f>'00 ACC DETAILS 01'!C23</f>
      </c>
    </row>
    <row r="24" spans="1:5">
      <c r="B24" t="s" s="147">
        <v>192</v>
      </c>
      <c r="C24" s="146">
        <f>'00 ACC DETAILS 01'!C24</f>
      </c>
    </row>
    <row r="25" spans="1:5" ht="16" thickBot="1">
      <c r="B25" t="s" s="148">
        <v>145</v>
      </c>
      <c r="C25" s="149">
        <f>'00 ACC DETAILS 01'!C25</f>
      </c>
    </row>
    <row r="28" spans="1:5" ht="16" thickBot="1">
      <c r="A28" t="s" s="106">
        <v>201</v>
      </c>
    </row>
    <row r="29" spans="1:5" ht="16" thickBot="1">
      <c r="A29" s="154"/>
      <c r="B29" t="s" s="156">
        <v>199</v>
      </c>
      <c r="C29" t="s" s="157">
        <v>200</v>
      </c>
      <c r="D29" t="s" s="157">
        <v>7</v>
      </c>
      <c r="E29" s="155"/>
    </row>
    <row r="30" spans="1:5" ht="16">
      <c r="A30" s="150">
        <v>1</v>
      </c>
      <c r="B30" s="151"/>
      <c r="C30" s="151"/>
      <c r="D30" s="152"/>
      <c r="E30" s="153">
        <f>IF(ISBLANK(B30),0,IF(C30&lt;2000,RIGHT(C30,2),C30)&amp;"-"&amp;IF(B30="wet","W","D"))</f>
      </c>
    </row>
    <row r="31" spans="1:5" ht="16">
      <c r="A31" s="139">
        <v>2</v>
      </c>
      <c r="B31" s="135"/>
      <c r="C31" s="135"/>
      <c r="D31" s="136"/>
      <c r="E31" s="140">
        <f t="shared" ref="E31:E94" si="0">IF(ISBLANK(B31),0,IF(C31&lt;2000,RIGHT(C31,2),C31)&amp;"-"&amp;IF(B31="wet","W","D"))</f>
      </c>
    </row>
    <row r="32" spans="1:5" ht="16">
      <c r="A32" s="139">
        <v>3</v>
      </c>
      <c r="B32" s="135"/>
      <c r="C32" s="135"/>
      <c r="D32" s="136"/>
      <c r="E32" s="140">
        <f t="shared" si="0"/>
      </c>
    </row>
    <row r="33" spans="1:5" ht="16">
      <c r="A33" s="139">
        <v>4</v>
      </c>
      <c r="B33" s="135"/>
      <c r="C33" s="135"/>
      <c r="D33" s="136"/>
      <c r="E33" s="140">
        <f t="shared" si="0"/>
      </c>
    </row>
    <row r="34" spans="1:5" ht="16">
      <c r="A34" s="139">
        <v>5</v>
      </c>
      <c r="B34" s="135"/>
      <c r="C34" s="135"/>
      <c r="D34" s="136"/>
      <c r="E34" s="140">
        <f t="shared" si="0"/>
      </c>
    </row>
    <row r="35" spans="1:5" ht="16">
      <c r="A35" s="139">
        <v>6</v>
      </c>
      <c r="B35" s="135"/>
      <c r="C35" s="135"/>
      <c r="D35" s="136"/>
      <c r="E35" s="140">
        <f t="shared" si="0"/>
      </c>
    </row>
    <row r="36" spans="1:5" ht="16">
      <c r="A36" s="139">
        <v>7</v>
      </c>
      <c r="B36" s="135"/>
      <c r="C36" s="135"/>
      <c r="D36" s="136"/>
      <c r="E36" s="140">
        <f t="shared" si="0"/>
      </c>
    </row>
    <row r="37" spans="1:5" ht="16">
      <c r="A37" s="139">
        <v>8</v>
      </c>
      <c r="B37" s="135"/>
      <c r="C37" s="135"/>
      <c r="D37" s="136"/>
      <c r="E37" s="140">
        <f t="shared" si="0"/>
      </c>
    </row>
    <row r="38" spans="1:5" ht="16">
      <c r="A38" s="139">
        <v>9</v>
      </c>
      <c r="B38" s="135"/>
      <c r="C38" s="135"/>
      <c r="D38" s="136"/>
      <c r="E38" s="140">
        <f t="shared" si="0"/>
      </c>
    </row>
    <row r="39" spans="1:5" ht="16">
      <c r="A39" s="139">
        <v>10</v>
      </c>
      <c r="B39" s="135"/>
      <c r="C39" s="135"/>
      <c r="D39" s="136"/>
      <c r="E39" s="140">
        <f t="shared" si="0"/>
      </c>
    </row>
    <row r="40" spans="1:5" ht="16">
      <c r="A40" s="139">
        <v>11</v>
      </c>
      <c r="B40" s="135"/>
      <c r="C40" s="135"/>
      <c r="D40" s="136"/>
      <c r="E40" s="140">
        <f t="shared" si="0"/>
      </c>
    </row>
    <row r="41" spans="1:5" ht="16">
      <c r="A41" s="139">
        <v>12</v>
      </c>
      <c r="B41" s="135"/>
      <c r="C41" s="135"/>
      <c r="D41" s="136"/>
      <c r="E41" s="140">
        <f t="shared" si="0"/>
      </c>
    </row>
    <row r="42" spans="1:5" ht="16">
      <c r="A42" s="139">
        <v>13</v>
      </c>
      <c r="B42" s="135"/>
      <c r="C42" s="135"/>
      <c r="D42" s="136"/>
      <c r="E42" s="140">
        <f t="shared" si="0"/>
      </c>
    </row>
    <row r="43" spans="1:5" ht="16">
      <c r="A43" s="139">
        <v>14</v>
      </c>
      <c r="B43" s="135"/>
      <c r="C43" s="135"/>
      <c r="D43" s="136"/>
      <c r="E43" s="140">
        <f t="shared" si="0"/>
      </c>
    </row>
    <row r="44" spans="1:5" ht="16">
      <c r="A44" s="139">
        <v>15</v>
      </c>
      <c r="B44" s="135"/>
      <c r="C44" s="135"/>
      <c r="D44" s="136"/>
      <c r="E44" s="140">
        <f t="shared" si="0"/>
      </c>
    </row>
    <row r="45" spans="1:5" ht="16">
      <c r="A45" s="139">
        <v>16</v>
      </c>
      <c r="B45" s="135"/>
      <c r="C45" s="135"/>
      <c r="D45" s="136"/>
      <c r="E45" s="140">
        <f t="shared" si="0"/>
      </c>
    </row>
    <row r="46" spans="1:5" ht="16">
      <c r="A46" s="139">
        <v>17</v>
      </c>
      <c r="B46" s="135"/>
      <c r="C46" s="135"/>
      <c r="D46" s="136"/>
      <c r="E46" s="140">
        <f t="shared" si="0"/>
      </c>
    </row>
    <row r="47" spans="1:5" ht="16">
      <c r="A47" s="139">
        <v>18</v>
      </c>
      <c r="B47" s="135"/>
      <c r="C47" s="135"/>
      <c r="D47" s="136"/>
      <c r="E47" s="140">
        <f t="shared" si="0"/>
      </c>
    </row>
    <row r="48" spans="1:5" ht="16">
      <c r="A48" s="139">
        <v>19</v>
      </c>
      <c r="B48" s="135"/>
      <c r="C48" s="135"/>
      <c r="D48" s="136"/>
      <c r="E48" s="140">
        <f t="shared" si="0"/>
      </c>
    </row>
    <row r="49" spans="1:5" ht="16">
      <c r="A49" s="139">
        <v>20</v>
      </c>
      <c r="B49" s="135"/>
      <c r="C49" s="135"/>
      <c r="D49" s="136"/>
      <c r="E49" s="140">
        <f t="shared" si="0"/>
      </c>
    </row>
    <row r="50" spans="1:5" ht="16">
      <c r="A50" s="139">
        <v>21</v>
      </c>
      <c r="B50" s="135"/>
      <c r="C50" s="135"/>
      <c r="D50" s="136"/>
      <c r="E50" s="140">
        <f t="shared" si="0"/>
      </c>
    </row>
    <row r="51" spans="1:5" ht="16">
      <c r="A51" s="139">
        <v>22</v>
      </c>
      <c r="B51" s="135"/>
      <c r="C51" s="135"/>
      <c r="D51" s="136"/>
      <c r="E51" s="140">
        <f t="shared" si="0"/>
      </c>
    </row>
    <row r="52" spans="1:5" ht="16">
      <c r="A52" s="139">
        <v>23</v>
      </c>
      <c r="B52" s="135"/>
      <c r="C52" s="135"/>
      <c r="D52" s="136"/>
      <c r="E52" s="140">
        <f t="shared" si="0"/>
      </c>
    </row>
    <row r="53" spans="1:5" ht="16">
      <c r="A53" s="139">
        <v>24</v>
      </c>
      <c r="B53" s="135"/>
      <c r="C53" s="135"/>
      <c r="D53" s="136"/>
      <c r="E53" s="140">
        <f t="shared" si="0"/>
      </c>
    </row>
    <row r="54" spans="1:5" ht="16">
      <c r="A54" s="139">
        <v>25</v>
      </c>
      <c r="B54" s="135"/>
      <c r="C54" s="135"/>
      <c r="D54" s="136"/>
      <c r="E54" s="140">
        <f t="shared" si="0"/>
      </c>
    </row>
    <row r="55" spans="1:5" ht="16">
      <c r="A55" s="139">
        <v>26</v>
      </c>
      <c r="B55" s="135"/>
      <c r="C55" s="135"/>
      <c r="D55" s="136"/>
      <c r="E55" s="140">
        <f t="shared" si="0"/>
      </c>
    </row>
    <row r="56" spans="1:5" ht="16">
      <c r="A56" s="139">
        <v>27</v>
      </c>
      <c r="B56" s="135"/>
      <c r="C56" s="135"/>
      <c r="D56" s="136"/>
      <c r="E56" s="140">
        <f t="shared" si="0"/>
      </c>
    </row>
    <row r="57" spans="1:5" ht="16">
      <c r="A57" s="139">
        <v>28</v>
      </c>
      <c r="B57" s="135"/>
      <c r="C57" s="135"/>
      <c r="D57" s="136"/>
      <c r="E57" s="140">
        <f t="shared" si="0"/>
      </c>
    </row>
    <row r="58" spans="1:5" ht="16">
      <c r="A58" s="139">
        <v>29</v>
      </c>
      <c r="B58" s="135"/>
      <c r="C58" s="135"/>
      <c r="D58" s="136"/>
      <c r="E58" s="140">
        <f t="shared" si="0"/>
      </c>
    </row>
    <row r="59" spans="1:5" ht="16">
      <c r="A59" s="139">
        <v>30</v>
      </c>
      <c r="B59" s="135"/>
      <c r="C59" s="135"/>
      <c r="D59" s="136"/>
      <c r="E59" s="140">
        <f t="shared" si="0"/>
      </c>
    </row>
    <row r="60" spans="1:5" ht="16">
      <c r="A60" s="139">
        <v>31</v>
      </c>
      <c r="B60" s="135"/>
      <c r="C60" s="135"/>
      <c r="D60" s="136"/>
      <c r="E60" s="140">
        <f t="shared" si="0"/>
      </c>
    </row>
    <row r="61" spans="1:5" ht="16">
      <c r="A61" s="139">
        <v>32</v>
      </c>
      <c r="B61" s="135"/>
      <c r="C61" s="135"/>
      <c r="D61" s="136"/>
      <c r="E61" s="140">
        <f t="shared" si="0"/>
      </c>
    </row>
    <row r="62" spans="1:5" ht="16">
      <c r="A62" s="139">
        <v>33</v>
      </c>
      <c r="B62" s="135"/>
      <c r="C62" s="135"/>
      <c r="D62" s="136"/>
      <c r="E62" s="140">
        <f t="shared" si="0"/>
      </c>
    </row>
    <row r="63" spans="1:5" ht="16">
      <c r="A63" s="139">
        <v>34</v>
      </c>
      <c r="B63" s="135"/>
      <c r="C63" s="135"/>
      <c r="D63" s="136"/>
      <c r="E63" s="140">
        <f t="shared" si="0"/>
      </c>
    </row>
    <row r="64" spans="1:5" ht="16">
      <c r="A64" s="139">
        <v>35</v>
      </c>
      <c r="B64" s="135"/>
      <c r="C64" s="135"/>
      <c r="D64" s="136"/>
      <c r="E64" s="140">
        <f t="shared" si="0"/>
      </c>
    </row>
    <row r="65" spans="1:5" ht="16">
      <c r="A65" s="139">
        <v>36</v>
      </c>
      <c r="B65" s="135"/>
      <c r="C65" s="135"/>
      <c r="D65" s="136"/>
      <c r="E65" s="140">
        <f t="shared" si="0"/>
      </c>
    </row>
    <row r="66" spans="1:5" ht="16">
      <c r="A66" s="139">
        <v>37</v>
      </c>
      <c r="B66" s="135"/>
      <c r="C66" s="135"/>
      <c r="D66" s="136"/>
      <c r="E66" s="140">
        <f t="shared" si="0"/>
      </c>
    </row>
    <row r="67" spans="1:5" ht="16">
      <c r="A67" s="139">
        <v>38</v>
      </c>
      <c r="B67" s="135"/>
      <c r="C67" s="135"/>
      <c r="D67" s="136"/>
      <c r="E67" s="140">
        <f t="shared" si="0"/>
      </c>
    </row>
    <row r="68" spans="1:5" ht="16">
      <c r="A68" s="139">
        <v>39</v>
      </c>
      <c r="B68" s="135"/>
      <c r="C68" s="135"/>
      <c r="D68" s="136"/>
      <c r="E68" s="140">
        <f t="shared" si="0"/>
      </c>
    </row>
    <row r="69" spans="1:5" ht="16">
      <c r="A69" s="139">
        <v>40</v>
      </c>
      <c r="B69" s="135"/>
      <c r="C69" s="135"/>
      <c r="D69" s="136"/>
      <c r="E69" s="140">
        <f t="shared" si="0"/>
      </c>
    </row>
    <row r="70" spans="1:5" ht="16">
      <c r="A70" s="139">
        <v>41</v>
      </c>
      <c r="B70" s="138"/>
      <c r="C70" s="138"/>
      <c r="D70" s="137"/>
      <c r="E70" s="140">
        <f t="shared" si="0"/>
      </c>
    </row>
    <row r="71" spans="1:5" ht="16">
      <c r="A71" s="139">
        <v>42</v>
      </c>
      <c r="B71" s="138"/>
      <c r="C71" s="138"/>
      <c r="D71" s="137"/>
      <c r="E71" s="140">
        <f t="shared" si="0"/>
      </c>
    </row>
    <row r="72" spans="1:5" ht="16">
      <c r="A72" s="139">
        <v>43</v>
      </c>
      <c r="B72" s="138"/>
      <c r="C72" s="138"/>
      <c r="D72" s="137"/>
      <c r="E72" s="140">
        <f t="shared" si="0"/>
      </c>
    </row>
    <row r="73" spans="1:5" ht="16">
      <c r="A73" s="139">
        <v>44</v>
      </c>
      <c r="B73" s="138"/>
      <c r="C73" s="138"/>
      <c r="D73" s="137"/>
      <c r="E73" s="140">
        <f t="shared" si="0"/>
      </c>
    </row>
    <row r="74" spans="1:5" ht="16">
      <c r="A74" s="139">
        <v>45</v>
      </c>
      <c r="B74" s="138"/>
      <c r="C74" s="138"/>
      <c r="D74" s="137"/>
      <c r="E74" s="140">
        <f t="shared" si="0"/>
      </c>
    </row>
    <row r="75" spans="1:5" ht="16">
      <c r="A75" s="139">
        <v>46</v>
      </c>
      <c r="B75" s="138"/>
      <c r="C75" s="138"/>
      <c r="D75" s="137"/>
      <c r="E75" s="140">
        <f t="shared" si="0"/>
      </c>
    </row>
    <row r="76" spans="1:5" ht="16">
      <c r="A76" s="139">
        <v>47</v>
      </c>
      <c r="B76" s="138"/>
      <c r="C76" s="138"/>
      <c r="D76" s="137"/>
      <c r="E76" s="140">
        <f t="shared" si="0"/>
      </c>
    </row>
    <row r="77" spans="1:5" ht="16">
      <c r="A77" s="139">
        <v>48</v>
      </c>
      <c r="B77" s="138"/>
      <c r="C77" s="138"/>
      <c r="D77" s="137"/>
      <c r="E77" s="140">
        <f t="shared" si="0"/>
      </c>
    </row>
    <row r="78" spans="1:5" ht="16">
      <c r="A78" s="139">
        <v>49</v>
      </c>
      <c r="B78" s="138"/>
      <c r="C78" s="138"/>
      <c r="D78" s="137"/>
      <c r="E78" s="140">
        <f t="shared" si="0"/>
      </c>
    </row>
    <row r="79" spans="1:5" ht="16">
      <c r="A79" s="139">
        <v>50</v>
      </c>
      <c r="B79" s="138"/>
      <c r="C79" s="138"/>
      <c r="D79" s="137"/>
      <c r="E79" s="140">
        <f t="shared" si="0"/>
      </c>
    </row>
    <row r="80" spans="1:5" ht="16">
      <c r="A80" s="139">
        <v>51</v>
      </c>
      <c r="B80" s="138"/>
      <c r="C80" s="138"/>
      <c r="D80" s="137"/>
      <c r="E80" s="140">
        <f t="shared" si="0"/>
      </c>
    </row>
    <row r="81" spans="1:5" ht="16">
      <c r="A81" s="139">
        <v>52</v>
      </c>
      <c r="B81" s="138"/>
      <c r="C81" s="138"/>
      <c r="D81" s="137"/>
      <c r="E81" s="140">
        <f t="shared" si="0"/>
      </c>
    </row>
    <row r="82" spans="1:5" ht="16">
      <c r="A82" s="139">
        <v>53</v>
      </c>
      <c r="B82" s="138"/>
      <c r="C82" s="138"/>
      <c r="D82" s="137"/>
      <c r="E82" s="140">
        <f t="shared" si="0"/>
      </c>
    </row>
    <row r="83" spans="1:5" ht="16">
      <c r="A83" s="139">
        <v>54</v>
      </c>
      <c r="B83" s="138"/>
      <c r="C83" s="138"/>
      <c r="D83" s="137"/>
      <c r="E83" s="140">
        <f t="shared" si="0"/>
      </c>
    </row>
    <row r="84" spans="1:5" ht="16">
      <c r="A84" s="139">
        <v>55</v>
      </c>
      <c r="B84" s="138"/>
      <c r="C84" s="138"/>
      <c r="D84" s="137"/>
      <c r="E84" s="140">
        <f t="shared" si="0"/>
      </c>
    </row>
    <row r="85" spans="1:5" ht="16">
      <c r="A85" s="139">
        <v>56</v>
      </c>
      <c r="B85" s="138"/>
      <c r="C85" s="138"/>
      <c r="D85" s="137"/>
      <c r="E85" s="140">
        <f t="shared" si="0"/>
      </c>
    </row>
    <row r="86" spans="1:5" ht="16">
      <c r="A86" s="139">
        <v>57</v>
      </c>
      <c r="B86" s="138"/>
      <c r="C86" s="138"/>
      <c r="D86" s="137"/>
      <c r="E86" s="140">
        <f t="shared" si="0"/>
      </c>
    </row>
    <row r="87" spans="1:5" ht="16">
      <c r="A87" s="139">
        <v>58</v>
      </c>
      <c r="B87" s="138"/>
      <c r="C87" s="138"/>
      <c r="D87" s="137"/>
      <c r="E87" s="140">
        <f t="shared" si="0"/>
      </c>
    </row>
    <row r="88" spans="1:5" ht="16">
      <c r="A88" s="139">
        <v>59</v>
      </c>
      <c r="B88" s="138"/>
      <c r="C88" s="138"/>
      <c r="D88" s="137"/>
      <c r="E88" s="140">
        <f t="shared" si="0"/>
      </c>
    </row>
    <row r="89" spans="1:5" ht="16">
      <c r="A89" s="139">
        <v>60</v>
      </c>
      <c r="B89" s="138"/>
      <c r="C89" s="138"/>
      <c r="D89" s="137"/>
      <c r="E89" s="140">
        <f t="shared" si="0"/>
      </c>
    </row>
    <row r="90" spans="1:5" ht="16">
      <c r="A90" s="139">
        <v>61</v>
      </c>
      <c r="B90" s="138"/>
      <c r="C90" s="138"/>
      <c r="D90" s="137"/>
      <c r="E90" s="140">
        <f t="shared" si="0"/>
      </c>
    </row>
    <row r="91" spans="1:5" ht="16">
      <c r="A91" s="139">
        <v>62</v>
      </c>
      <c r="B91" s="138"/>
      <c r="C91" s="138"/>
      <c r="D91" s="137"/>
      <c r="E91" s="140">
        <f t="shared" si="0"/>
      </c>
    </row>
    <row r="92" spans="1:5" ht="16">
      <c r="A92" s="139">
        <v>63</v>
      </c>
      <c r="B92" s="138"/>
      <c r="C92" s="138"/>
      <c r="D92" s="137"/>
      <c r="E92" s="140">
        <f t="shared" si="0"/>
      </c>
    </row>
    <row r="93" spans="1:5" ht="16">
      <c r="A93" s="139">
        <v>64</v>
      </c>
      <c r="B93" s="138"/>
      <c r="C93" s="138"/>
      <c r="D93" s="137"/>
      <c r="E93" s="140">
        <f t="shared" si="0"/>
      </c>
    </row>
    <row r="94" spans="1:5" ht="16">
      <c r="A94" s="139">
        <v>65</v>
      </c>
      <c r="B94" s="138"/>
      <c r="C94" s="138"/>
      <c r="D94" s="137"/>
      <c r="E94" s="140">
        <f t="shared" si="0"/>
      </c>
    </row>
    <row r="95" spans="1:5" ht="16">
      <c r="A95" s="139">
        <v>66</v>
      </c>
      <c r="B95" s="138"/>
      <c r="C95" s="138"/>
      <c r="D95" s="137"/>
      <c r="E95" s="140">
        <f t="shared" ref="E95:E112" si="1">IF(ISBLANK(B95),0,IF(C95&lt;2000,RIGHT(C95,2),C95)&amp;"-"&amp;IF(B95="wet","W","D"))</f>
      </c>
    </row>
    <row r="96" spans="1:5" ht="16">
      <c r="A96" s="139">
        <v>67</v>
      </c>
      <c r="B96" s="138"/>
      <c r="C96" s="138"/>
      <c r="D96" s="137"/>
      <c r="E96" s="140">
        <f t="shared" si="1"/>
      </c>
    </row>
    <row r="97" spans="1:5" ht="16">
      <c r="A97" s="139">
        <v>68</v>
      </c>
      <c r="B97" s="138"/>
      <c r="C97" s="138"/>
      <c r="D97" s="137"/>
      <c r="E97" s="140">
        <f t="shared" si="1"/>
      </c>
    </row>
    <row r="98" spans="1:5" ht="16">
      <c r="A98" s="139">
        <v>69</v>
      </c>
      <c r="B98" s="138"/>
      <c r="C98" s="138"/>
      <c r="D98" s="137"/>
      <c r="E98" s="140">
        <f t="shared" si="1"/>
      </c>
    </row>
    <row r="99" spans="1:5" ht="16">
      <c r="A99" s="139">
        <v>70</v>
      </c>
      <c r="B99" s="138"/>
      <c r="C99" s="138"/>
      <c r="D99" s="137"/>
      <c r="E99" s="140">
        <f t="shared" si="1"/>
      </c>
    </row>
    <row r="100" spans="1:5" ht="16">
      <c r="A100" s="139">
        <v>71</v>
      </c>
      <c r="B100" s="138"/>
      <c r="C100" s="138"/>
      <c r="D100" s="137"/>
      <c r="E100" s="140">
        <f t="shared" si="1"/>
      </c>
    </row>
    <row r="101" spans="1:5" ht="16">
      <c r="A101" s="139">
        <v>72</v>
      </c>
      <c r="B101" s="138"/>
      <c r="C101" s="138"/>
      <c r="D101" s="137"/>
      <c r="E101" s="140">
        <f t="shared" si="1"/>
      </c>
    </row>
    <row r="102" spans="1:5" ht="16">
      <c r="A102" s="139">
        <v>73</v>
      </c>
      <c r="B102" s="138"/>
      <c r="C102" s="138"/>
      <c r="D102" s="137"/>
      <c r="E102" s="140">
        <f t="shared" si="1"/>
      </c>
    </row>
    <row r="103" spans="1:5" ht="16">
      <c r="A103" s="139">
        <v>74</v>
      </c>
      <c r="B103" s="138"/>
      <c r="C103" s="138"/>
      <c r="D103" s="137"/>
      <c r="E103" s="140">
        <f t="shared" si="1"/>
      </c>
    </row>
    <row r="104" spans="1:5" ht="16">
      <c r="A104" s="139">
        <v>75</v>
      </c>
      <c r="B104" s="138"/>
      <c r="C104" s="138"/>
      <c r="D104" s="137"/>
      <c r="E104" s="140">
        <f t="shared" si="1"/>
      </c>
    </row>
    <row r="105" spans="1:5" ht="16">
      <c r="A105" s="139">
        <v>76</v>
      </c>
      <c r="B105" s="138"/>
      <c r="C105" s="138"/>
      <c r="D105" s="137"/>
      <c r="E105" s="140">
        <f t="shared" si="1"/>
      </c>
    </row>
    <row r="106" spans="1:5" ht="16">
      <c r="A106" s="139">
        <v>77</v>
      </c>
      <c r="B106" s="138"/>
      <c r="C106" s="138"/>
      <c r="D106" s="137"/>
      <c r="E106" s="140">
        <f t="shared" si="1"/>
      </c>
    </row>
    <row r="107" spans="1:5" ht="16">
      <c r="A107" s="139">
        <v>78</v>
      </c>
      <c r="B107" s="138"/>
      <c r="C107" s="138"/>
      <c r="D107" s="137"/>
      <c r="E107" s="140">
        <f t="shared" si="1"/>
      </c>
    </row>
    <row r="108" spans="1:5" ht="16">
      <c r="A108" s="139">
        <v>79</v>
      </c>
      <c r="B108" s="138"/>
      <c r="C108" s="138"/>
      <c r="D108" s="137"/>
      <c r="E108" s="140">
        <f t="shared" si="1"/>
      </c>
    </row>
    <row r="109" spans="1:5" ht="16">
      <c r="A109" s="139">
        <v>80</v>
      </c>
      <c r="B109" s="138"/>
      <c r="C109" s="138"/>
      <c r="D109" s="137"/>
      <c r="E109" s="140">
        <f t="shared" si="1"/>
      </c>
    </row>
    <row r="110" spans="1:5" ht="16">
      <c r="A110" s="139">
        <v>81</v>
      </c>
      <c r="B110" s="138"/>
      <c r="C110" s="138"/>
      <c r="D110" s="137"/>
      <c r="E110" s="140">
        <f t="shared" si="1"/>
      </c>
    </row>
    <row r="111" spans="1:5" ht="16">
      <c r="A111" s="139">
        <v>82</v>
      </c>
      <c r="B111" s="138"/>
      <c r="C111" s="138"/>
      <c r="D111" s="137"/>
      <c r="E111" s="140">
        <f t="shared" si="1"/>
      </c>
    </row>
    <row r="112" spans="1:5" ht="17" thickBot="1">
      <c r="A112" s="141">
        <v>83</v>
      </c>
      <c r="B112" s="142"/>
      <c r="C112" s="142"/>
      <c r="D112" s="143"/>
      <c r="E112" s="144">
        <f t="shared" si="1"/>
      </c>
    </row>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A287-DE30-4B7B-A77F-E8F33B1DF092}">
  <sheetPr/>
  <sheetViews>
    <sheetView view="pageBreakPreview" zoomScaleNormal="100" zoomScaleSheetLayoutView="100" workbookViewId="0">
      <selection activeCell="C8" sqref="C8"/>
    </sheetView>
  </sheetViews>
  <sheetFormatPr baseColWidth="10" defaultColWidth="8.83203125" defaultRowHeight="15"/>
  <cols>
    <col min="1" max="1" width="12" customWidth="1"/>
    <col min="2" max="2" width="11.5" customWidth="1"/>
    <col min="3" max="3" width="14.6640625" customWidth="1"/>
    <col min="4" max="4" width="21.83203125" customWidth="1"/>
    <col min="5" max="5" width="9.83203125" customWidth="1"/>
    <col min="6" max="6" width="17" customWidth="1"/>
    <col min="7" max="7" width="26.1640625" customWidth="1"/>
  </cols>
  <sheetData>
    <row r="1" spans="1:7">
      <c r="A1" s="221"/>
      <c r="B1" s="221"/>
      <c r="C1" s="221"/>
      <c r="D1" s="221"/>
      <c r="E1" s="221"/>
      <c r="F1" s="221"/>
      <c r="G1" s="221"/>
    </row>
    <row r="2" spans="1:7" ht="23">
      <c r="A2" s="222"/>
      <c r="B2" s="222"/>
      <c r="C2" s="222"/>
      <c r="D2" s="222"/>
      <c r="E2" s="222"/>
      <c r="F2" s="222"/>
      <c r="G2" s="222"/>
    </row>
    <row r="3" spans="1:7">
      <c r="A3" s="223"/>
      <c r="B3" s="223"/>
      <c r="C3" s="223"/>
      <c r="D3" s="223"/>
      <c r="E3" s="223"/>
      <c r="F3" s="223"/>
      <c r="G3" s="223"/>
    </row>
    <row r="4" spans="1:7" ht="16">
      <c r="A4" s="224"/>
      <c r="B4" s="224"/>
      <c r="C4" s="224"/>
      <c r="D4" s="224"/>
      <c r="E4" s="224"/>
      <c r="F4" s="224"/>
      <c r="G4" s="224"/>
    </row>
    <row r="5" spans="1:7">
      <c r="A5" s="225"/>
      <c r="B5" s="225"/>
      <c r="C5" s="225"/>
      <c r="D5" s="225"/>
      <c r="E5" s="225"/>
      <c r="F5" s="225"/>
      <c r="G5" s="225"/>
    </row>
    <row r="6" spans="1:7">
      <c r="A6" s="1"/>
      <c r="B6" s="2"/>
      <c r="C6" s="2"/>
      <c r="D6" s="2"/>
      <c r="E6" s="2"/>
      <c r="F6" s="2"/>
      <c r="G6" s="2"/>
    </row>
    <row r="7" spans="1:7">
      <c r="A7" s="3"/>
      <c r="B7" s="3"/>
      <c r="C7" s="3"/>
      <c r="D7" s="3"/>
      <c r="E7" s="3"/>
      <c r="F7" s="4"/>
      <c r="G7" s="5"/>
    </row>
    <row r="8" spans="1:7">
      <c r="A8" s="3"/>
      <c r="B8" s="3"/>
      <c r="C8" s="3"/>
      <c r="D8" s="3"/>
      <c r="E8" s="3"/>
      <c r="F8" s="4"/>
      <c r="G8" s="5"/>
    </row>
    <row r="9" spans="1:7">
      <c r="A9" s="3"/>
      <c r="B9" s="3"/>
      <c r="C9" s="3"/>
      <c r="D9" s="3"/>
      <c r="E9" s="3"/>
      <c r="F9" s="3"/>
      <c r="G9" s="3"/>
    </row>
    <row r="10" spans="1:7">
      <c r="A10" s="3"/>
      <c r="B10" s="3"/>
      <c r="C10" s="3"/>
      <c r="D10" s="3"/>
      <c r="E10" s="3"/>
      <c r="F10" s="3"/>
      <c r="G10" s="3"/>
    </row>
    <row r="11" spans="1:7" ht="20">
      <c r="A11" t="s" s="202">
        <v>0</v>
      </c>
      <c r="B11" s="202"/>
      <c r="C11" s="202"/>
      <c r="D11" s="202"/>
      <c r="E11" s="202"/>
      <c r="F11" s="202"/>
      <c r="G11" s="202"/>
    </row>
    <row r="12" spans="1:7">
      <c r="A12" s="209">
        <f ca="1">"as of "&amp;TEXT(TODAY(),"mmmm dd, yyyy")</f>
      </c>
      <c r="B12" s="209"/>
      <c r="C12" s="209"/>
      <c r="D12" s="209"/>
      <c r="E12" s="209"/>
      <c r="F12" s="209"/>
      <c r="G12" s="209"/>
    </row>
    <row r="13" spans="1:7">
      <c r="A13" s="210"/>
      <c r="B13" s="210"/>
      <c r="C13" s="6"/>
      <c r="D13" s="7"/>
      <c r="E13" s="4"/>
      <c r="F13" s="7"/>
      <c r="G13" s="7"/>
    </row>
    <row r="14" spans="1:7" ht="20">
      <c r="A14" t="s" s="211">
        <v>1</v>
      </c>
      <c r="B14" s="211"/>
      <c r="C14" s="8"/>
      <c r="D14" s="9"/>
      <c r="E14" s="10"/>
      <c r="F14" t="s" s="11">
        <v>2</v>
      </c>
      <c r="G14" s="12">
        <f>'00 ACC DETAILS 05'!C4&amp;" - "&amp;'00 ACC DETAILS 05'!C5</f>
      </c>
    </row>
    <row r="15" spans="1:7" ht="20">
      <c r="A15" t="s" s="10">
        <v>3</v>
      </c>
      <c r="B15" s="13"/>
      <c r="C15" s="14">
        <f>'00 ACC DETAILS 05'!C3</f>
      </c>
      <c r="D15" s="9"/>
      <c r="E15" s="10"/>
      <c r="F15" t="s" s="11">
        <v>4</v>
      </c>
      <c cm="1" r="G15" s="15">
        <f t="array" ref="G15">IFERROR(0,LOOKUP(2,1/(A19:A101),A19:A101))</f>
      </c>
    </row>
    <row r="16" spans="1:7">
      <c r="A16" t="s" s="10">
        <v>5</v>
      </c>
      <c r="B16" s="16"/>
      <c r="C16" s="17">
        <f>IF(ISBLANK('00 ACC DETAILS 01'!C8),'00 ACC DETAILS 01'!C7&amp;" "&amp;'00 ACC DETAILS 01'!C9,'00 ACC DETAILS 01'!C7&amp;" "&amp;'00 ACC DETAILS 01'!C8&amp;" "&amp;'00 ACC DETAILS 01'!C9)</f>
      </c>
      <c r="D16" s="17"/>
      <c r="E16" t="s" s="10">
        <v>6</v>
      </c>
      <c r="F16" s="212"/>
      <c r="G16" s="212"/>
    </row>
    <row r="17" spans="1:7" ht="16" thickBot="1">
      <c r="A17" t="s" s="10">
        <v>288</v>
      </c>
      <c r="B17" s="10"/>
      <c r="C17" s="17">
        <f>IF(ISBLANK('00 ACC DETAILS 05'!C12),'00 ACC DETAILS 05'!C11&amp;" "&amp;'00 ACC DETAILS 05'!C13,'00 ACC DETAILS 05'!C11&amp;" "&amp;'00 ACC DETAILS 05'!C12&amp;" "&amp;'00 ACC DETAILS 05'!C13)</f>
      </c>
      <c r="D17" s="18"/>
      <c r="E17" t="s" s="10">
        <v>6</v>
      </c>
      <c r="F17" s="212"/>
      <c r="G17" s="212"/>
    </row>
    <row r="18" spans="1:7" ht="16" thickBot="1">
      <c r="A18" t="s" s="19">
        <v>7</v>
      </c>
      <c r="B18" t="s" s="20">
        <v>8</v>
      </c>
      <c r="C18" t="s" s="20">
        <v>9</v>
      </c>
      <c r="D18" t="s" s="20">
        <v>10</v>
      </c>
      <c r="E18" t="s" s="21">
        <v>11</v>
      </c>
      <c r="F18" t="s" s="20">
        <v>12</v>
      </c>
      <c r="G18" t="s" s="20">
        <v>13</v>
      </c>
    </row>
    <row r="19" spans="1:7">
      <c r="A19" s="133">
        <f>IFERROR((LOOKUP(MATCH(B19,'00 ACC DETAILS 05'!$E$30:$E$112,0),'00 ACC DETAILS 05'!$A$30:$A$112,'00 ACC DETAILS 05'!$D$30:$D$112)),0)</f>
      </c>
      <c r="B19" t="s" s="22">
        <v>14</v>
      </c>
      <c r="C19" s="23">
        <f>15*100</f>
      </c>
      <c r="D19" s="23">
        <f t="shared" ref="D19:D82" si="0">A19*C19</f>
      </c>
      <c r="E19" s="24">
        <f>E21+12</f>
      </c>
      <c r="F19" s="25">
        <f t="shared" ref="F19:F82" si="1">D19*E19/100</f>
      </c>
      <c r="G19" s="26">
        <f t="shared" ref="G19:G82" si="2">D19+F19</f>
      </c>
    </row>
    <row r="20" spans="1:7">
      <c r="A20" s="133">
        <f>IFERROR((LOOKUP(MATCH(B20,'00 ACC DETAILS 05'!$E$30:$E$112,0),'00 ACC DETAILS 05'!$A$30:$A$112,'00 ACC DETAILS 05'!$D$30:$D$112)),0)</f>
      </c>
      <c r="B20" t="s" s="27">
        <v>15</v>
      </c>
      <c r="C20" s="28">
        <f>15*150</f>
      </c>
      <c r="D20" s="23">
        <f t="shared" si="0"/>
      </c>
      <c r="E20" s="29">
        <f>E22+12</f>
      </c>
      <c r="F20" s="25">
        <f t="shared" si="1"/>
      </c>
      <c r="G20" s="26">
        <f t="shared" si="2"/>
      </c>
    </row>
    <row r="21" spans="1:7">
      <c r="A21" s="133">
        <f>IFERROR((LOOKUP(MATCH(B21,'00 ACC DETAILS 05'!$E$30:$E$112,0),'00 ACC DETAILS 05'!$A$30:$A$112,'00 ACC DETAILS 05'!$D$30:$D$112)),0)</f>
      </c>
      <c r="B21" t="s" s="27">
        <v>16</v>
      </c>
      <c r="C21" s="28">
        <f t="shared" ref="C21:C63" si="3">C19</f>
      </c>
      <c r="D21" s="23">
        <f t="shared" si="0"/>
      </c>
      <c r="E21" s="29">
        <f>E22+12</f>
      </c>
      <c r="F21" s="25">
        <f t="shared" si="1"/>
      </c>
      <c r="G21" s="26">
        <f t="shared" si="2"/>
      </c>
    </row>
    <row r="22" spans="1:7">
      <c r="A22" s="133">
        <f>IFERROR((LOOKUP(MATCH(B22,'00 ACC DETAILS 05'!$E$30:$E$112,0),'00 ACC DETAILS 05'!$A$30:$A$112,'00 ACC DETAILS 05'!$D$30:$D$112)),0)</f>
      </c>
      <c r="B22" t="s" s="27">
        <v>17</v>
      </c>
      <c r="C22" s="28">
        <f t="shared" si="3"/>
      </c>
      <c r="D22" s="23">
        <f t="shared" si="0"/>
      </c>
      <c r="E22" s="29">
        <f>E24+12</f>
      </c>
      <c r="F22" s="25">
        <f t="shared" si="1"/>
      </c>
      <c r="G22" s="26">
        <f t="shared" si="2"/>
      </c>
    </row>
    <row r="23" spans="1:7">
      <c r="A23" s="133">
        <f>IFERROR((LOOKUP(MATCH(B23,'00 ACC DETAILS 05'!$E$30:$E$112,0),'00 ACC DETAILS 05'!$A$30:$A$112,'00 ACC DETAILS 05'!$D$30:$D$112)),0)</f>
      </c>
      <c r="B23" t="s" s="27">
        <v>18</v>
      </c>
      <c r="C23" s="28">
        <f t="shared" si="3"/>
      </c>
      <c r="D23" s="23">
        <f t="shared" si="0"/>
      </c>
      <c r="E23" s="29">
        <f>E24+12</f>
      </c>
      <c r="F23" s="25">
        <f t="shared" si="1"/>
      </c>
      <c r="G23" s="26">
        <f t="shared" si="2"/>
      </c>
    </row>
    <row r="24" spans="1:7">
      <c r="A24" s="133">
        <f>IFERROR((LOOKUP(MATCH(B24,'00 ACC DETAILS 05'!$E$30:$E$112,0),'00 ACC DETAILS 05'!$A$30:$A$112,'00 ACC DETAILS 05'!$D$30:$D$112)),0)</f>
      </c>
      <c r="B24" t="s" s="27">
        <v>19</v>
      </c>
      <c r="C24" s="28">
        <f t="shared" si="3"/>
      </c>
      <c r="D24" s="23">
        <f t="shared" si="0"/>
      </c>
      <c r="E24" s="29">
        <f>E26+6</f>
      </c>
      <c r="F24" s="25">
        <f t="shared" si="1"/>
      </c>
      <c r="G24" s="26">
        <f t="shared" si="2"/>
      </c>
    </row>
    <row r="25" spans="1:7">
      <c r="A25" s="133">
        <f>IFERROR((LOOKUP(MATCH(B25,'00 ACC DETAILS 05'!$E$30:$E$112,0),'00 ACC DETAILS 05'!$A$30:$A$112,'00 ACC DETAILS 05'!$D$30:$D$112)),0)</f>
      </c>
      <c r="B25" t="s" s="27">
        <v>20</v>
      </c>
      <c r="C25" s="28">
        <f t="shared" si="3"/>
      </c>
      <c r="D25" s="23">
        <f t="shared" si="0"/>
      </c>
      <c r="E25" s="29">
        <f t="shared" ref="E25:E88" si="4">E26+6</f>
      </c>
      <c r="F25" s="25">
        <f t="shared" si="1"/>
      </c>
      <c r="G25" s="26">
        <f t="shared" si="2"/>
      </c>
    </row>
    <row r="26" spans="1:7">
      <c r="A26" s="133">
        <f>IFERROR((LOOKUP(MATCH(B26,'00 ACC DETAILS 05'!$E$30:$E$112,0),'00 ACC DETAILS 05'!$A$30:$A$112,'00 ACC DETAILS 05'!$D$30:$D$112)),0)</f>
      </c>
      <c r="B26" t="s" s="27">
        <v>21</v>
      </c>
      <c r="C26" s="28">
        <f t="shared" si="3"/>
      </c>
      <c r="D26" s="23">
        <f t="shared" si="0"/>
      </c>
      <c r="E26" s="29">
        <f t="shared" si="4"/>
      </c>
      <c r="F26" s="25">
        <f t="shared" si="1"/>
      </c>
      <c r="G26" s="26">
        <f t="shared" si="2"/>
      </c>
    </row>
    <row r="27" spans="1:7">
      <c r="A27" s="133">
        <f>IFERROR((LOOKUP(MATCH(B27,'00 ACC DETAILS 05'!$E$30:$E$112,0),'00 ACC DETAILS 05'!$A$30:$A$112,'00 ACC DETAILS 05'!$D$30:$D$112)),0)</f>
      </c>
      <c r="B27" t="s" s="30">
        <v>22</v>
      </c>
      <c r="C27" s="28">
        <f t="shared" si="3"/>
      </c>
      <c r="D27" s="23">
        <f t="shared" si="0"/>
      </c>
      <c r="E27" s="29">
        <f t="shared" si="4"/>
      </c>
      <c r="F27" s="25">
        <f t="shared" si="1"/>
      </c>
      <c r="G27" s="26">
        <f t="shared" si="2"/>
      </c>
    </row>
    <row r="28" spans="1:7">
      <c r="A28" s="133">
        <f>IFERROR((LOOKUP(MATCH(B28,'00 ACC DETAILS 05'!$E$30:$E$112,0),'00 ACC DETAILS 05'!$A$30:$A$112,'00 ACC DETAILS 05'!$D$30:$D$112)),0)</f>
      </c>
      <c r="B28" t="s" s="30">
        <v>23</v>
      </c>
      <c r="C28" s="28">
        <f t="shared" si="3"/>
      </c>
      <c r="D28" s="23">
        <f t="shared" si="0"/>
      </c>
      <c r="E28" s="29">
        <f t="shared" si="4"/>
      </c>
      <c r="F28" s="25">
        <f t="shared" si="1"/>
      </c>
      <c r="G28" s="26">
        <f t="shared" si="2"/>
      </c>
    </row>
    <row r="29" spans="1:7">
      <c r="A29" s="133">
        <f>IFERROR((LOOKUP(MATCH(B29,'00 ACC DETAILS 05'!$E$30:$E$112,0),'00 ACC DETAILS 05'!$A$30:$A$112,'00 ACC DETAILS 05'!$D$30:$D$112)),0)</f>
      </c>
      <c r="B29" t="s" s="30">
        <v>24</v>
      </c>
      <c r="C29" s="28">
        <f t="shared" si="3"/>
      </c>
      <c r="D29" s="23">
        <f t="shared" si="0"/>
      </c>
      <c r="E29" s="29">
        <f t="shared" si="4"/>
      </c>
      <c r="F29" s="25">
        <f t="shared" si="1"/>
      </c>
      <c r="G29" s="26">
        <f t="shared" si="2"/>
      </c>
    </row>
    <row r="30" spans="1:7">
      <c r="A30" s="133">
        <f>IFERROR((LOOKUP(MATCH(B30,'00 ACC DETAILS 05'!$E$30:$E$112,0),'00 ACC DETAILS 05'!$A$30:$A$112,'00 ACC DETAILS 05'!$D$30:$D$112)),0)</f>
      </c>
      <c r="B30" t="s" s="30">
        <v>25</v>
      </c>
      <c r="C30" s="28">
        <f t="shared" si="3"/>
      </c>
      <c r="D30" s="23">
        <f t="shared" si="0"/>
      </c>
      <c r="E30" s="29">
        <f t="shared" si="4"/>
      </c>
      <c r="F30" s="25">
        <f t="shared" si="1"/>
      </c>
      <c r="G30" s="26">
        <f t="shared" si="2"/>
      </c>
    </row>
    <row r="31" spans="1:7">
      <c r="A31" s="133">
        <f>IFERROR((LOOKUP(MATCH(B31,'00 ACC DETAILS 05'!$E$30:$E$112,0),'00 ACC DETAILS 05'!$A$30:$A$112,'00 ACC DETAILS 05'!$D$30:$D$112)),0)</f>
      </c>
      <c r="B31" t="s" s="30">
        <v>26</v>
      </c>
      <c r="C31" s="28">
        <f t="shared" si="3"/>
      </c>
      <c r="D31" s="23">
        <f t="shared" si="0"/>
      </c>
      <c r="E31" s="29">
        <f t="shared" si="4"/>
      </c>
      <c r="F31" s="25">
        <f t="shared" si="1"/>
      </c>
      <c r="G31" s="26">
        <f t="shared" si="2"/>
      </c>
    </row>
    <row r="32" spans="1:7">
      <c r="A32" s="133">
        <f>IFERROR((LOOKUP(MATCH(B32,'00 ACC DETAILS 05'!$E$30:$E$112,0),'00 ACC DETAILS 05'!$A$30:$A$112,'00 ACC DETAILS 05'!$D$30:$D$112)),0)</f>
      </c>
      <c r="B32" t="s" s="30">
        <v>27</v>
      </c>
      <c r="C32" s="28">
        <f t="shared" si="3"/>
      </c>
      <c r="D32" s="23">
        <f t="shared" si="0"/>
      </c>
      <c r="E32" s="29">
        <f t="shared" si="4"/>
      </c>
      <c r="F32" s="25">
        <f t="shared" si="1"/>
      </c>
      <c r="G32" s="26">
        <f t="shared" si="2"/>
      </c>
    </row>
    <row r="33" spans="1:7">
      <c r="A33" s="133">
        <f>IFERROR((LOOKUP(MATCH(B33,'00 ACC DETAILS 05'!$E$30:$E$112,0),'00 ACC DETAILS 05'!$A$30:$A$112,'00 ACC DETAILS 05'!$D$30:$D$112)),0)</f>
      </c>
      <c r="B33" t="s" s="30">
        <v>28</v>
      </c>
      <c r="C33" s="28">
        <f t="shared" si="3"/>
      </c>
      <c r="D33" s="23">
        <f t="shared" si="0"/>
      </c>
      <c r="E33" s="29">
        <f t="shared" si="4"/>
      </c>
      <c r="F33" s="25">
        <f t="shared" si="1"/>
      </c>
      <c r="G33" s="26">
        <f t="shared" si="2"/>
      </c>
    </row>
    <row r="34" spans="1:7">
      <c r="A34" s="133">
        <f>IFERROR((LOOKUP(MATCH(B34,'00 ACC DETAILS 05'!$E$30:$E$112,0),'00 ACC DETAILS 05'!$A$30:$A$112,'00 ACC DETAILS 05'!$D$30:$D$112)),0)</f>
      </c>
      <c r="B34" t="s" s="30">
        <v>29</v>
      </c>
      <c r="C34" s="28">
        <f t="shared" si="3"/>
      </c>
      <c r="D34" s="23">
        <f t="shared" si="0"/>
      </c>
      <c r="E34" s="29">
        <f t="shared" si="4"/>
      </c>
      <c r="F34" s="25">
        <f t="shared" si="1"/>
      </c>
      <c r="G34" s="26">
        <f t="shared" si="2"/>
      </c>
    </row>
    <row r="35" spans="1:7">
      <c r="A35" s="133">
        <f>IFERROR((LOOKUP(MATCH(B35,'00 ACC DETAILS 05'!$E$30:$E$112,0),'00 ACC DETAILS 05'!$A$30:$A$112,'00 ACC DETAILS 05'!$D$30:$D$112)),0)</f>
      </c>
      <c r="B35" t="s" s="30">
        <v>30</v>
      </c>
      <c r="C35" s="28">
        <f t="shared" si="3"/>
      </c>
      <c r="D35" s="23">
        <f t="shared" si="0"/>
      </c>
      <c r="E35" s="29">
        <f t="shared" si="4"/>
      </c>
      <c r="F35" s="25">
        <f t="shared" si="1"/>
      </c>
      <c r="G35" s="26">
        <f t="shared" si="2"/>
      </c>
    </row>
    <row r="36" spans="1:7">
      <c r="A36" s="133">
        <f>IFERROR((LOOKUP(MATCH(B36,'00 ACC DETAILS 05'!$E$30:$E$112,0),'00 ACC DETAILS 05'!$A$30:$A$112,'00 ACC DETAILS 05'!$D$30:$D$112)),0)</f>
      </c>
      <c r="B36" t="s" s="30">
        <v>31</v>
      </c>
      <c r="C36" s="28">
        <f t="shared" si="3"/>
      </c>
      <c r="D36" s="23">
        <f t="shared" si="0"/>
      </c>
      <c r="E36" s="29">
        <f t="shared" si="4"/>
      </c>
      <c r="F36" s="25">
        <f t="shared" si="1"/>
      </c>
      <c r="G36" s="26">
        <f t="shared" si="2"/>
      </c>
    </row>
    <row r="37" spans="1:7">
      <c r="A37" s="133">
        <f>IFERROR((LOOKUP(MATCH(B37,'00 ACC DETAILS 05'!$E$30:$E$112,0),'00 ACC DETAILS 05'!$A$30:$A$112,'00 ACC DETAILS 05'!$D$30:$D$112)),0)</f>
      </c>
      <c r="B37" t="s" s="30">
        <v>32</v>
      </c>
      <c r="C37" s="28">
        <f t="shared" si="3"/>
      </c>
      <c r="D37" s="23">
        <f t="shared" si="0"/>
      </c>
      <c r="E37" s="29">
        <f t="shared" si="4"/>
      </c>
      <c r="F37" s="25">
        <f t="shared" si="1"/>
      </c>
      <c r="G37" s="26">
        <f t="shared" si="2"/>
      </c>
    </row>
    <row r="38" spans="1:7">
      <c r="A38" s="133">
        <f>IFERROR((LOOKUP(MATCH(B38,'00 ACC DETAILS 05'!$E$30:$E$112,0),'00 ACC DETAILS 05'!$A$30:$A$112,'00 ACC DETAILS 05'!$D$30:$D$112)),0)</f>
      </c>
      <c r="B38" t="s" s="30">
        <v>33</v>
      </c>
      <c r="C38" s="28">
        <f t="shared" si="3"/>
      </c>
      <c r="D38" s="23">
        <f t="shared" si="0"/>
      </c>
      <c r="E38" s="29">
        <f t="shared" si="4"/>
      </c>
      <c r="F38" s="25">
        <f t="shared" si="1"/>
      </c>
      <c r="G38" s="26">
        <f t="shared" si="2"/>
      </c>
    </row>
    <row r="39" spans="1:7">
      <c r="A39" s="133">
        <f>IFERROR((LOOKUP(MATCH(B39,'00 ACC DETAILS 05'!$E$30:$E$112,0),'00 ACC DETAILS 05'!$A$30:$A$112,'00 ACC DETAILS 05'!$D$30:$D$112)),0)</f>
      </c>
      <c r="B39" t="s" s="30">
        <v>34</v>
      </c>
      <c r="C39" s="28">
        <f t="shared" si="3"/>
      </c>
      <c r="D39" s="23">
        <f t="shared" si="0"/>
      </c>
      <c r="E39" s="29">
        <f t="shared" si="4"/>
      </c>
      <c r="F39" s="25">
        <f t="shared" si="1"/>
      </c>
      <c r="G39" s="26">
        <f t="shared" si="2"/>
      </c>
    </row>
    <row r="40" spans="1:7">
      <c r="A40" s="133">
        <f>IFERROR((LOOKUP(MATCH(B40,'00 ACC DETAILS 05'!$E$30:$E$112,0),'00 ACC DETAILS 05'!$A$30:$A$112,'00 ACC DETAILS 05'!$D$30:$D$112)),0)</f>
      </c>
      <c r="B40" t="s" s="30">
        <v>35</v>
      </c>
      <c r="C40" s="28">
        <f t="shared" si="3"/>
      </c>
      <c r="D40" s="23">
        <f t="shared" si="0"/>
      </c>
      <c r="E40" s="29">
        <f t="shared" si="4"/>
      </c>
      <c r="F40" s="25">
        <f t="shared" si="1"/>
      </c>
      <c r="G40" s="26">
        <f t="shared" si="2"/>
      </c>
    </row>
    <row r="41" spans="1:7">
      <c r="A41" s="133">
        <f>IFERROR((LOOKUP(MATCH(B41,'00 ACC DETAILS 05'!$E$30:$E$112,0),'00 ACC DETAILS 05'!$A$30:$A$112,'00 ACC DETAILS 05'!$D$30:$D$112)),0)</f>
      </c>
      <c r="B41" t="s" s="30">
        <v>36</v>
      </c>
      <c r="C41" s="28">
        <f t="shared" si="3"/>
      </c>
      <c r="D41" s="23">
        <f t="shared" si="0"/>
      </c>
      <c r="E41" s="29">
        <f t="shared" si="4"/>
      </c>
      <c r="F41" s="25">
        <f t="shared" si="1"/>
      </c>
      <c r="G41" s="26">
        <f t="shared" si="2"/>
      </c>
    </row>
    <row r="42" spans="1:7">
      <c r="A42" s="133">
        <f>IFERROR((LOOKUP(MATCH(B42,'00 ACC DETAILS 05'!$E$30:$E$112,0),'00 ACC DETAILS 05'!$A$30:$A$112,'00 ACC DETAILS 05'!$D$30:$D$112)),0)</f>
      </c>
      <c r="B42" t="s" s="30">
        <v>37</v>
      </c>
      <c r="C42" s="28">
        <f t="shared" si="3"/>
      </c>
      <c r="D42" s="23">
        <f t="shared" si="0"/>
      </c>
      <c r="E42" s="29">
        <f t="shared" si="4"/>
      </c>
      <c r="F42" s="25">
        <f t="shared" si="1"/>
      </c>
      <c r="G42" s="26">
        <f t="shared" si="2"/>
      </c>
    </row>
    <row r="43" spans="1:7">
      <c r="A43" s="133">
        <f>IFERROR((LOOKUP(MATCH(B43,'00 ACC DETAILS 05'!$E$30:$E$112,0),'00 ACC DETAILS 05'!$A$30:$A$112,'00 ACC DETAILS 05'!$D$30:$D$112)),0)</f>
      </c>
      <c r="B43" t="s" s="30">
        <v>38</v>
      </c>
      <c r="C43" s="28">
        <f t="shared" si="3"/>
      </c>
      <c r="D43" s="23">
        <f t="shared" si="0"/>
      </c>
      <c r="E43" s="29">
        <f t="shared" si="4"/>
      </c>
      <c r="F43" s="25">
        <f t="shared" si="1"/>
      </c>
      <c r="G43" s="26">
        <f t="shared" si="2"/>
      </c>
    </row>
    <row r="44" spans="1:7">
      <c r="A44" s="133">
        <f>IFERROR((LOOKUP(MATCH(B44,'00 ACC DETAILS 05'!$E$30:$E$112,0),'00 ACC DETAILS 05'!$A$30:$A$112,'00 ACC DETAILS 05'!$D$30:$D$112)),0)</f>
      </c>
      <c r="B44" t="s" s="30">
        <v>39</v>
      </c>
      <c r="C44" s="28">
        <f t="shared" si="3"/>
      </c>
      <c r="D44" s="23">
        <f t="shared" si="0"/>
      </c>
      <c r="E44" s="29">
        <f t="shared" si="4"/>
      </c>
      <c r="F44" s="25">
        <f t="shared" si="1"/>
      </c>
      <c r="G44" s="26">
        <f t="shared" si="2"/>
      </c>
    </row>
    <row r="45" spans="1:7">
      <c r="A45" s="133">
        <f>IFERROR((LOOKUP(MATCH(B45,'00 ACC DETAILS 05'!$E$30:$E$112,0),'00 ACC DETAILS 05'!$A$30:$A$112,'00 ACC DETAILS 05'!$D$30:$D$112)),0)</f>
      </c>
      <c r="B45" t="s" s="30">
        <v>40</v>
      </c>
      <c r="C45" s="28">
        <f t="shared" si="3"/>
      </c>
      <c r="D45" s="23">
        <f t="shared" si="0"/>
      </c>
      <c r="E45" s="29">
        <f t="shared" si="4"/>
      </c>
      <c r="F45" s="25">
        <f t="shared" si="1"/>
      </c>
      <c r="G45" s="26">
        <f t="shared" si="2"/>
      </c>
    </row>
    <row r="46" spans="1:7">
      <c r="A46" s="133">
        <f>IFERROR((LOOKUP(MATCH(B46,'00 ACC DETAILS 05'!$E$30:$E$112,0),'00 ACC DETAILS 05'!$A$30:$A$112,'00 ACC DETAILS 05'!$D$30:$D$112)),0)</f>
      </c>
      <c r="B46" t="s" s="30">
        <v>41</v>
      </c>
      <c r="C46" s="28">
        <f t="shared" si="3"/>
      </c>
      <c r="D46" s="23">
        <f t="shared" si="0"/>
      </c>
      <c r="E46" s="29">
        <f t="shared" si="4"/>
      </c>
      <c r="F46" s="25">
        <f t="shared" si="1"/>
      </c>
      <c r="G46" s="26">
        <f t="shared" si="2"/>
      </c>
    </row>
    <row r="47" spans="1:7">
      <c r="A47" s="133">
        <f>IFERROR((LOOKUP(MATCH(B47,'00 ACC DETAILS 05'!$E$30:$E$112,0),'00 ACC DETAILS 05'!$A$30:$A$112,'00 ACC DETAILS 05'!$D$30:$D$112)),0)</f>
      </c>
      <c r="B47" t="s" s="30">
        <v>42</v>
      </c>
      <c r="C47" s="28">
        <f t="shared" si="3"/>
      </c>
      <c r="D47" s="23">
        <f t="shared" si="0"/>
      </c>
      <c r="E47" s="29">
        <f t="shared" si="4"/>
      </c>
      <c r="F47" s="25">
        <f t="shared" si="1"/>
      </c>
      <c r="G47" s="26">
        <f t="shared" si="2"/>
      </c>
    </row>
    <row r="48" spans="1:7">
      <c r="A48" s="133">
        <f>IFERROR((LOOKUP(MATCH(B48,'00 ACC DETAILS 05'!$E$30:$E$112,0),'00 ACC DETAILS 05'!$A$30:$A$112,'00 ACC DETAILS 05'!$D$30:$D$112)),0)</f>
      </c>
      <c r="B48" t="s" s="30">
        <v>43</v>
      </c>
      <c r="C48" s="28">
        <f t="shared" si="3"/>
      </c>
      <c r="D48" s="23">
        <f t="shared" si="0"/>
      </c>
      <c r="E48" s="29">
        <f t="shared" si="4"/>
      </c>
      <c r="F48" s="25">
        <f t="shared" si="1"/>
      </c>
      <c r="G48" s="26">
        <f t="shared" si="2"/>
      </c>
    </row>
    <row r="49" spans="1:7">
      <c r="A49" s="133">
        <f>IFERROR((LOOKUP(MATCH(B49,'00 ACC DETAILS 05'!$E$30:$E$112,0),'00 ACC DETAILS 05'!$A$30:$A$112,'00 ACC DETAILS 05'!$D$30:$D$112)),0)</f>
      </c>
      <c r="B49" t="s" s="30">
        <v>44</v>
      </c>
      <c r="C49" s="28">
        <f t="shared" si="3"/>
      </c>
      <c r="D49" s="23">
        <f t="shared" si="0"/>
      </c>
      <c r="E49" s="29">
        <f t="shared" si="4"/>
      </c>
      <c r="F49" s="25">
        <f t="shared" si="1"/>
      </c>
      <c r="G49" s="26">
        <f t="shared" si="2"/>
      </c>
    </row>
    <row r="50" spans="1:7">
      <c r="A50" s="133">
        <f>IFERROR((LOOKUP(MATCH(B50,'00 ACC DETAILS 05'!$E$30:$E$112,0),'00 ACC DETAILS 05'!$A$30:$A$112,'00 ACC DETAILS 05'!$D$30:$D$112)),0)</f>
      </c>
      <c r="B50" t="s" s="30">
        <v>45</v>
      </c>
      <c r="C50" s="28">
        <f t="shared" si="3"/>
      </c>
      <c r="D50" s="23">
        <f t="shared" si="0"/>
      </c>
      <c r="E50" s="29">
        <f t="shared" si="4"/>
      </c>
      <c r="F50" s="25">
        <f t="shared" si="1"/>
      </c>
      <c r="G50" s="26">
        <f t="shared" si="2"/>
      </c>
    </row>
    <row r="51" spans="1:7">
      <c r="A51" s="133">
        <f>IFERROR((LOOKUP(MATCH(B51,'00 ACC DETAILS 05'!$E$30:$E$112,0),'00 ACC DETAILS 05'!$A$30:$A$112,'00 ACC DETAILS 05'!$D$30:$D$112)),0)</f>
      </c>
      <c r="B51" t="s" s="30">
        <v>46</v>
      </c>
      <c r="C51" s="28">
        <f t="shared" si="3"/>
      </c>
      <c r="D51" s="23">
        <f t="shared" si="0"/>
      </c>
      <c r="E51" s="29">
        <f t="shared" si="4"/>
      </c>
      <c r="F51" s="25">
        <f t="shared" si="1"/>
      </c>
      <c r="G51" s="26">
        <f t="shared" si="2"/>
      </c>
    </row>
    <row r="52" spans="1:7">
      <c r="A52" s="133">
        <f>IFERROR((LOOKUP(MATCH(B52,'00 ACC DETAILS 05'!$E$30:$E$112,0),'00 ACC DETAILS 05'!$A$30:$A$112,'00 ACC DETAILS 05'!$D$30:$D$112)),0)</f>
      </c>
      <c r="B52" t="s" s="30">
        <v>47</v>
      </c>
      <c r="C52" s="28">
        <f t="shared" si="3"/>
      </c>
      <c r="D52" s="23">
        <f t="shared" si="0"/>
      </c>
      <c r="E52" s="29">
        <f t="shared" si="4"/>
      </c>
      <c r="F52" s="25">
        <f t="shared" si="1"/>
      </c>
      <c r="G52" s="26">
        <f t="shared" si="2"/>
      </c>
    </row>
    <row r="53" spans="1:7">
      <c r="A53" s="133">
        <f>IFERROR((LOOKUP(MATCH(B53,'00 ACC DETAILS 05'!$E$30:$E$112,0),'00 ACC DETAILS 05'!$A$30:$A$112,'00 ACC DETAILS 05'!$D$30:$D$112)),0)</f>
      </c>
      <c r="B53" t="s" s="30">
        <v>48</v>
      </c>
      <c r="C53" s="28">
        <f t="shared" si="3"/>
      </c>
      <c r="D53" s="23">
        <f t="shared" si="0"/>
      </c>
      <c r="E53" s="29">
        <f t="shared" si="4"/>
      </c>
      <c r="F53" s="25">
        <f t="shared" si="1"/>
      </c>
      <c r="G53" s="26">
        <f t="shared" si="2"/>
      </c>
    </row>
    <row r="54" spans="1:7">
      <c r="A54" s="133">
        <f>IFERROR((LOOKUP(MATCH(B54,'00 ACC DETAILS 05'!$E$30:$E$112,0),'00 ACC DETAILS 05'!$A$30:$A$112,'00 ACC DETAILS 05'!$D$30:$D$112)),0)</f>
      </c>
      <c r="B54" t="s" s="30">
        <v>49</v>
      </c>
      <c r="C54" s="28">
        <f t="shared" si="3"/>
      </c>
      <c r="D54" s="23">
        <f t="shared" si="0"/>
      </c>
      <c r="E54" s="29">
        <f t="shared" si="4"/>
      </c>
      <c r="F54" s="25">
        <f t="shared" si="1"/>
      </c>
      <c r="G54" s="26">
        <f t="shared" si="2"/>
      </c>
    </row>
    <row r="55" spans="1:7">
      <c r="A55" s="133">
        <f>IFERROR((LOOKUP(MATCH(B55,'00 ACC DETAILS 05'!$E$30:$E$112,0),'00 ACC DETAILS 05'!$A$30:$A$112,'00 ACC DETAILS 05'!$D$30:$D$112)),0)</f>
      </c>
      <c r="B55" t="s" s="30">
        <v>50</v>
      </c>
      <c r="C55" s="28">
        <f t="shared" si="3"/>
      </c>
      <c r="D55" s="23">
        <f t="shared" si="0"/>
      </c>
      <c r="E55" s="29">
        <f t="shared" si="4"/>
      </c>
      <c r="F55" s="25">
        <f t="shared" si="1"/>
      </c>
      <c r="G55" s="26">
        <f t="shared" si="2"/>
      </c>
    </row>
    <row r="56" spans="1:7">
      <c r="A56" s="133">
        <f>IFERROR((LOOKUP(MATCH(B56,'00 ACC DETAILS 05'!$E$30:$E$112,0),'00 ACC DETAILS 05'!$A$30:$A$112,'00 ACC DETAILS 05'!$D$30:$D$112)),0)</f>
      </c>
      <c r="B56" t="s" s="30">
        <v>51</v>
      </c>
      <c r="C56" s="28">
        <f t="shared" si="3"/>
      </c>
      <c r="D56" s="23">
        <f t="shared" si="0"/>
      </c>
      <c r="E56" s="29">
        <f t="shared" si="4"/>
      </c>
      <c r="F56" s="25">
        <f t="shared" si="1"/>
      </c>
      <c r="G56" s="26">
        <f t="shared" si="2"/>
      </c>
    </row>
    <row r="57" spans="1:7">
      <c r="A57" s="133">
        <f>IFERROR((LOOKUP(MATCH(B57,'00 ACC DETAILS 05'!$E$30:$E$112,0),'00 ACC DETAILS 05'!$A$30:$A$112,'00 ACC DETAILS 05'!$D$30:$D$112)),0)</f>
      </c>
      <c r="B57" t="s" s="30">
        <v>52</v>
      </c>
      <c r="C57" s="28">
        <f t="shared" si="3"/>
      </c>
      <c r="D57" s="23">
        <f t="shared" si="0"/>
      </c>
      <c r="E57" s="29">
        <f t="shared" si="4"/>
      </c>
      <c r="F57" s="25">
        <f t="shared" si="1"/>
      </c>
      <c r="G57" s="26">
        <f t="shared" si="2"/>
      </c>
    </row>
    <row r="58" spans="1:7">
      <c r="A58" s="133">
        <f>IFERROR((LOOKUP(MATCH(B58,'00 ACC DETAILS 05'!$E$30:$E$112,0),'00 ACC DETAILS 05'!$A$30:$A$112,'00 ACC DETAILS 05'!$D$30:$D$112)),0)</f>
      </c>
      <c r="B58" t="s" s="30">
        <v>53</v>
      </c>
      <c r="C58" s="28">
        <f t="shared" si="3"/>
      </c>
      <c r="D58" s="23">
        <f t="shared" si="0"/>
      </c>
      <c r="E58" s="29">
        <f t="shared" si="4"/>
      </c>
      <c r="F58" s="25">
        <f t="shared" si="1"/>
      </c>
      <c r="G58" s="26">
        <f t="shared" si="2"/>
      </c>
    </row>
    <row r="59" spans="1:7">
      <c r="A59" s="133">
        <f>IFERROR((LOOKUP(MATCH(B59,'00 ACC DETAILS 05'!$E$30:$E$112,0),'00 ACC DETAILS 05'!$A$30:$A$112,'00 ACC DETAILS 05'!$D$30:$D$112)),0)</f>
      </c>
      <c r="B59" t="s" s="30">
        <v>54</v>
      </c>
      <c r="C59" s="28">
        <f t="shared" si="3"/>
      </c>
      <c r="D59" s="23">
        <f t="shared" si="0"/>
      </c>
      <c r="E59" s="29">
        <f t="shared" si="4"/>
      </c>
      <c r="F59" s="25">
        <f t="shared" si="1"/>
      </c>
      <c r="G59" s="26">
        <f t="shared" si="2"/>
      </c>
    </row>
    <row r="60" spans="1:7">
      <c r="A60" s="133">
        <f>IFERROR((LOOKUP(MATCH(B60,'00 ACC DETAILS 05'!$E$30:$E$112,0),'00 ACC DETAILS 05'!$A$30:$A$112,'00 ACC DETAILS 05'!$D$30:$D$112)),0)</f>
      </c>
      <c r="B60" t="s" s="30">
        <v>55</v>
      </c>
      <c r="C60" s="28">
        <f t="shared" si="3"/>
      </c>
      <c r="D60" s="23">
        <f t="shared" si="0"/>
      </c>
      <c r="E60" s="29">
        <f t="shared" si="4"/>
      </c>
      <c r="F60" s="25">
        <f t="shared" si="1"/>
      </c>
      <c r="G60" s="26">
        <f t="shared" si="2"/>
      </c>
    </row>
    <row r="61" spans="1:7">
      <c r="A61" s="133">
        <f>IFERROR((LOOKUP(MATCH(B61,'00 ACC DETAILS 05'!$E$30:$E$112,0),'00 ACC DETAILS 05'!$A$30:$A$112,'00 ACC DETAILS 05'!$D$30:$D$112)),0)</f>
      </c>
      <c r="B61" t="s" s="30">
        <v>56</v>
      </c>
      <c r="C61" s="28">
        <f t="shared" si="3"/>
      </c>
      <c r="D61" s="23">
        <f t="shared" si="0"/>
      </c>
      <c r="E61" s="29">
        <f t="shared" si="4"/>
      </c>
      <c r="F61" s="25">
        <f t="shared" si="1"/>
      </c>
      <c r="G61" s="26">
        <f t="shared" si="2"/>
      </c>
    </row>
    <row r="62" spans="1:7">
      <c r="A62" s="133">
        <f>IFERROR((LOOKUP(MATCH(B62,'00 ACC DETAILS 05'!$E$30:$E$112,0),'00 ACC DETAILS 05'!$A$30:$A$112,'00 ACC DETAILS 05'!$D$30:$D$112)),0)</f>
      </c>
      <c r="B62" t="s" s="30">
        <v>57</v>
      </c>
      <c r="C62" s="28">
        <f t="shared" si="3"/>
      </c>
      <c r="D62" s="23">
        <f t="shared" si="0"/>
      </c>
      <c r="E62" s="29">
        <f t="shared" si="4"/>
      </c>
      <c r="F62" s="25">
        <f t="shared" si="1"/>
      </c>
      <c r="G62" s="26">
        <f t="shared" si="2"/>
      </c>
    </row>
    <row r="63" spans="1:7">
      <c r="A63" s="133">
        <f>IFERROR((LOOKUP(MATCH(B63,'00 ACC DETAILS 05'!$E$30:$E$112,0),'00 ACC DETAILS 05'!$A$30:$A$112,'00 ACC DETAILS 05'!$D$30:$D$112)),0)</f>
      </c>
      <c r="B63" t="s" s="30">
        <v>58</v>
      </c>
      <c r="C63" s="28">
        <f t="shared" si="3"/>
      </c>
      <c r="D63" s="23">
        <f t="shared" si="0"/>
      </c>
      <c r="E63" s="29">
        <f t="shared" si="4"/>
      </c>
      <c r="F63" s="25">
        <f t="shared" si="1"/>
      </c>
      <c r="G63" s="26">
        <f t="shared" si="2"/>
      </c>
    </row>
    <row r="64" spans="1:7">
      <c r="A64" s="133">
        <f>IFERROR((LOOKUP(MATCH(B64,'00 ACC DETAILS 05'!$E$30:$E$112,0),'00 ACC DETAILS 05'!$A$30:$A$112,'00 ACC DETAILS 05'!$D$30:$D$112)),0)</f>
      </c>
      <c r="B64" t="s" s="30">
        <v>59</v>
      </c>
      <c r="C64" s="28">
        <v>0</v>
      </c>
      <c r="D64" s="23">
        <f t="shared" si="0"/>
      </c>
      <c r="E64" s="29">
        <f t="shared" si="4"/>
      </c>
      <c r="F64" s="25">
        <f t="shared" si="1"/>
      </c>
      <c r="G64" s="26">
        <f t="shared" si="2"/>
      </c>
    </row>
    <row r="65" spans="1:7">
      <c r="A65" s="133">
        <f>IFERROR((LOOKUP(MATCH(B65,'00 ACC DETAILS 05'!$E$30:$E$112,0),'00 ACC DETAILS 05'!$A$30:$A$112,'00 ACC DETAILS 05'!$D$30:$D$112)),0)</f>
      </c>
      <c r="B65" t="s" s="30">
        <v>60</v>
      </c>
      <c r="C65" s="28">
        <v>400</v>
      </c>
      <c r="D65" s="23">
        <f t="shared" si="0"/>
      </c>
      <c r="E65" s="29">
        <f t="shared" si="4"/>
      </c>
      <c r="F65" s="25">
        <f t="shared" si="1"/>
      </c>
      <c r="G65" s="26">
        <f t="shared" si="2"/>
      </c>
    </row>
    <row r="66" spans="1:7">
      <c r="A66" s="133">
        <f>IFERROR((LOOKUP(MATCH(B66,'00 ACC DETAILS 05'!$E$30:$E$112,0),'00 ACC DETAILS 05'!$A$30:$A$112,'00 ACC DETAILS 05'!$D$30:$D$112)),0)</f>
      </c>
      <c r="B66" t="s" s="30">
        <v>61</v>
      </c>
      <c r="C66" s="28">
        <v>600</v>
      </c>
      <c r="D66" s="23">
        <f t="shared" si="0"/>
      </c>
      <c r="E66" s="29">
        <f t="shared" si="4"/>
      </c>
      <c r="F66" s="25">
        <f t="shared" si="1"/>
      </c>
      <c r="G66" s="26">
        <f t="shared" si="2"/>
      </c>
    </row>
    <row r="67" spans="1:7">
      <c r="A67" s="133">
        <f>IFERROR((LOOKUP(MATCH(B67,'00 ACC DETAILS 05'!$E$30:$E$112,0),'00 ACC DETAILS 05'!$A$30:$A$112,'00 ACC DETAILS 05'!$D$30:$D$112)),0)</f>
      </c>
      <c r="B67" t="s" s="30">
        <v>62</v>
      </c>
      <c r="C67" s="28">
        <v>450</v>
      </c>
      <c r="D67" s="23">
        <f t="shared" si="0"/>
      </c>
      <c r="E67" s="29">
        <f t="shared" si="4"/>
      </c>
      <c r="F67" s="25">
        <f t="shared" si="1"/>
      </c>
      <c r="G67" s="26">
        <f t="shared" si="2"/>
      </c>
    </row>
    <row r="68" spans="1:7">
      <c r="A68" s="133">
        <f>IFERROR((LOOKUP(MATCH(B68,'00 ACC DETAILS 05'!$E$30:$E$112,0),'00 ACC DETAILS 05'!$A$30:$A$112,'00 ACC DETAILS 05'!$D$30:$D$112)),0)</f>
      </c>
      <c r="B68" t="s" s="30">
        <v>63</v>
      </c>
      <c r="C68" s="28">
        <v>750</v>
      </c>
      <c r="D68" s="23">
        <f t="shared" si="0"/>
      </c>
      <c r="E68" s="29">
        <f t="shared" si="4"/>
      </c>
      <c r="F68" s="25">
        <f t="shared" si="1"/>
      </c>
      <c r="G68" s="26">
        <f t="shared" si="2"/>
      </c>
    </row>
    <row r="69" spans="1:7">
      <c r="A69" s="133">
        <f>IFERROR((LOOKUP(MATCH(B69,'00 ACC DETAILS 05'!$E$30:$E$112,0),'00 ACC DETAILS 05'!$A$30:$A$112,'00 ACC DETAILS 05'!$D$30:$D$112)),0)</f>
      </c>
      <c r="B69" t="s" s="30">
        <v>64</v>
      </c>
      <c r="C69" s="28">
        <f>C67</f>
      </c>
      <c r="D69" s="23">
        <f t="shared" si="0"/>
      </c>
      <c r="E69" s="29">
        <f t="shared" si="4"/>
      </c>
      <c r="F69" s="25">
        <f t="shared" si="1"/>
      </c>
      <c r="G69" s="26">
        <f t="shared" si="2"/>
      </c>
    </row>
    <row r="70" spans="1:7">
      <c r="A70" s="133">
        <f>IFERROR((LOOKUP(MATCH(B70,'00 ACC DETAILS 05'!$E$30:$E$112,0),'00 ACC DETAILS 05'!$A$30:$A$112,'00 ACC DETAILS 05'!$D$30:$D$112)),0)</f>
      </c>
      <c r="B70" t="s" s="30">
        <v>65</v>
      </c>
      <c r="C70" s="28">
        <f>C68</f>
      </c>
      <c r="D70" s="23">
        <f t="shared" si="0"/>
      </c>
      <c r="E70" s="29">
        <f t="shared" si="4"/>
      </c>
      <c r="F70" s="25">
        <f t="shared" si="1"/>
      </c>
      <c r="G70" s="26">
        <f t="shared" si="2"/>
      </c>
    </row>
    <row r="71" spans="1:7">
      <c r="A71" s="133">
        <f>IFERROR((LOOKUP(MATCH(B71,'00 ACC DETAILS 05'!$E$30:$E$112,0),'00 ACC DETAILS 05'!$A$30:$A$112,'00 ACC DETAILS 05'!$D$30:$D$112)),0)</f>
      </c>
      <c r="B71" t="s" s="30">
        <v>66</v>
      </c>
      <c r="C71" s="28">
        <f>C63</f>
      </c>
      <c r="D71" s="23">
        <f t="shared" si="0"/>
      </c>
      <c r="E71" s="29">
        <f t="shared" si="4"/>
      </c>
      <c r="F71" s="25">
        <f t="shared" si="1"/>
      </c>
      <c r="G71" s="26">
        <f t="shared" si="2"/>
      </c>
    </row>
    <row r="72" spans="1:7">
      <c r="A72" s="133">
        <f>IFERROR((LOOKUP(MATCH(B72,'00 ACC DETAILS 05'!$E$30:$E$112,0),'00 ACC DETAILS 05'!$A$30:$A$112,'00 ACC DETAILS 05'!$D$30:$D$112)),0)</f>
      </c>
      <c r="B72" t="s" s="30">
        <v>67</v>
      </c>
      <c r="C72" s="28">
        <f>C62</f>
      </c>
      <c r="D72" s="23">
        <f t="shared" si="0"/>
      </c>
      <c r="E72" s="29">
        <f t="shared" si="4"/>
      </c>
      <c r="F72" s="25">
        <f t="shared" si="1"/>
      </c>
      <c r="G72" s="26">
        <f t="shared" si="2"/>
      </c>
    </row>
    <row r="73" spans="1:7">
      <c r="A73" s="133">
        <f>IFERROR((LOOKUP(MATCH(B73,'00 ACC DETAILS 05'!$E$30:$E$112,0),'00 ACC DETAILS 05'!$A$30:$A$112,'00 ACC DETAILS 05'!$D$30:$D$112)),0)</f>
      </c>
      <c r="B73" t="s" s="30">
        <v>68</v>
      </c>
      <c r="C73" s="28">
        <f t="shared" ref="C73:C85" si="5">C71</f>
      </c>
      <c r="D73" s="23">
        <f t="shared" si="0"/>
      </c>
      <c r="E73" s="29">
        <f t="shared" si="4"/>
      </c>
      <c r="F73" s="25">
        <f t="shared" si="1"/>
      </c>
      <c r="G73" s="26">
        <f t="shared" si="2"/>
      </c>
    </row>
    <row r="74" spans="1:7">
      <c r="A74" s="133">
        <f>IFERROR((LOOKUP(MATCH(B74,'00 ACC DETAILS 05'!$E$30:$E$112,0),'00 ACC DETAILS 05'!$A$30:$A$112,'00 ACC DETAILS 05'!$D$30:$D$112)),0)</f>
      </c>
      <c r="B74" t="s" s="30">
        <v>69</v>
      </c>
      <c r="C74" s="28">
        <f t="shared" si="5"/>
      </c>
      <c r="D74" s="23">
        <f t="shared" si="0"/>
      </c>
      <c r="E74" s="29">
        <f t="shared" si="4"/>
      </c>
      <c r="F74" s="25">
        <f t="shared" si="1"/>
      </c>
      <c r="G74" s="26">
        <f t="shared" si="2"/>
      </c>
    </row>
    <row r="75" spans="1:7">
      <c r="A75" s="133">
        <f>IFERROR((LOOKUP(MATCH(B75,'00 ACC DETAILS 05'!$E$30:$E$112,0),'00 ACC DETAILS 05'!$A$30:$A$112,'00 ACC DETAILS 05'!$D$30:$D$112)),0)</f>
      </c>
      <c r="B75" t="s" s="30">
        <v>70</v>
      </c>
      <c r="C75" s="28">
        <f t="shared" si="5"/>
      </c>
      <c r="D75" s="23">
        <f t="shared" si="0"/>
      </c>
      <c r="E75" s="29">
        <f t="shared" si="4"/>
      </c>
      <c r="F75" s="25">
        <f t="shared" si="1"/>
      </c>
      <c r="G75" s="26">
        <f t="shared" si="2"/>
      </c>
    </row>
    <row r="76" spans="1:7">
      <c r="A76" s="133">
        <f>IFERROR((LOOKUP(MATCH(B76,'00 ACC DETAILS 05'!$E$30:$E$112,0),'00 ACC DETAILS 05'!$A$30:$A$112,'00 ACC DETAILS 05'!$D$30:$D$112)),0)</f>
      </c>
      <c r="B76" t="s" s="30">
        <v>71</v>
      </c>
      <c r="C76" s="28">
        <f t="shared" si="5"/>
      </c>
      <c r="D76" s="23">
        <f t="shared" si="0"/>
      </c>
      <c r="E76" s="29">
        <f t="shared" si="4"/>
      </c>
      <c r="F76" s="25">
        <f t="shared" si="1"/>
      </c>
      <c r="G76" s="26">
        <f t="shared" si="2"/>
      </c>
    </row>
    <row r="77" spans="1:7">
      <c r="A77" s="133">
        <f>IFERROR((LOOKUP(MATCH(B77,'00 ACC DETAILS 05'!$E$30:$E$112,0),'00 ACC DETAILS 05'!$A$30:$A$112,'00 ACC DETAILS 05'!$D$30:$D$112)),0)</f>
      </c>
      <c r="B77" t="s" s="30">
        <v>72</v>
      </c>
      <c r="C77" s="28">
        <f t="shared" si="5"/>
      </c>
      <c r="D77" s="23">
        <f t="shared" si="0"/>
      </c>
      <c r="E77" s="31">
        <f t="shared" si="4"/>
      </c>
      <c r="F77" s="25">
        <f t="shared" si="1"/>
      </c>
      <c r="G77" s="26">
        <f t="shared" si="2"/>
      </c>
    </row>
    <row r="78" spans="1:7">
      <c r="A78" s="133">
        <f>IFERROR((LOOKUP(MATCH(B78,'00 ACC DETAILS 05'!$E$30:$E$112,0),'00 ACC DETAILS 05'!$A$30:$A$112,'00 ACC DETAILS 05'!$D$30:$D$112)),0)</f>
      </c>
      <c r="B78" t="s" s="30">
        <v>73</v>
      </c>
      <c r="C78" s="28">
        <f t="shared" si="5"/>
      </c>
      <c r="D78" s="23">
        <f t="shared" si="0"/>
      </c>
      <c r="E78" s="29">
        <f t="shared" si="4"/>
      </c>
      <c r="F78" s="25">
        <f t="shared" si="1"/>
      </c>
      <c r="G78" s="26">
        <f t="shared" si="2"/>
      </c>
    </row>
    <row r="79" spans="1:7">
      <c r="A79" s="133">
        <f>IFERROR((LOOKUP(MATCH(B79,'00 ACC DETAILS 05'!$E$30:$E$112,0),'00 ACC DETAILS 05'!$A$30:$A$112,'00 ACC DETAILS 05'!$D$30:$D$112)),0)</f>
      </c>
      <c r="B79" t="s" s="30">
        <v>74</v>
      </c>
      <c r="C79" s="28">
        <f>C77</f>
      </c>
      <c r="D79" s="23">
        <f>A79*C79</f>
      </c>
      <c r="E79" s="31">
        <f t="shared" si="4"/>
      </c>
      <c r="F79" s="25">
        <f t="shared" si="1"/>
      </c>
      <c r="G79" s="26">
        <f t="shared" si="2"/>
      </c>
    </row>
    <row r="80" spans="1:7">
      <c r="A80" s="133">
        <f>IFERROR((LOOKUP(MATCH(B80,'00 ACC DETAILS 05'!$E$30:$E$112,0),'00 ACC DETAILS 05'!$A$30:$A$112,'00 ACC DETAILS 05'!$D$30:$D$112)),0)</f>
      </c>
      <c r="B80" t="s" s="30">
        <v>75</v>
      </c>
      <c r="C80" s="28">
        <f t="shared" si="5"/>
      </c>
      <c r="D80" s="23">
        <f t="shared" si="0"/>
      </c>
      <c r="E80" s="31">
        <f t="shared" si="4"/>
      </c>
      <c r="F80" s="25">
        <f t="shared" si="1"/>
      </c>
      <c r="G80" s="26">
        <f t="shared" si="2"/>
      </c>
    </row>
    <row r="81" spans="1:7">
      <c r="A81" s="133">
        <f>IFERROR((LOOKUP(MATCH(B81,'00 ACC DETAILS 05'!$E$30:$E$112,0),'00 ACC DETAILS 05'!$A$30:$A$112,'00 ACC DETAILS 05'!$D$30:$D$112)),0)</f>
      </c>
      <c r="B81" t="s" s="30">
        <v>76</v>
      </c>
      <c r="C81" s="28">
        <f t="shared" si="5"/>
      </c>
      <c r="D81" s="23">
        <f t="shared" si="0"/>
      </c>
      <c r="E81" s="31">
        <f t="shared" si="4"/>
      </c>
      <c r="F81" s="25">
        <f t="shared" si="1"/>
      </c>
      <c r="G81" s="26">
        <f t="shared" si="2"/>
      </c>
    </row>
    <row r="82" spans="1:7">
      <c r="A82" s="133">
        <f>IFERROR((LOOKUP(MATCH(B82,'00 ACC DETAILS 05'!$E$30:$E$112,0),'00 ACC DETAILS 05'!$A$30:$A$112,'00 ACC DETAILS 05'!$D$30:$D$112)),0)</f>
      </c>
      <c r="B82" t="s" s="30">
        <v>77</v>
      </c>
      <c r="C82" s="28">
        <f t="shared" si="5"/>
      </c>
      <c r="D82" s="23">
        <f t="shared" si="0"/>
      </c>
      <c r="E82" s="31">
        <f t="shared" si="4"/>
      </c>
      <c r="F82" s="25">
        <f t="shared" si="1"/>
      </c>
      <c r="G82" s="26">
        <f t="shared" si="2"/>
      </c>
    </row>
    <row r="83" spans="1:7">
      <c r="A83" s="133">
        <f>IFERROR((LOOKUP(MATCH(B83,'00 ACC DETAILS 05'!$E$30:$E$112,0),'00 ACC DETAILS 05'!$A$30:$A$112,'00 ACC DETAILS 05'!$D$30:$D$112)),0)</f>
      </c>
      <c r="B83" t="s" s="32">
        <v>78</v>
      </c>
      <c r="C83" s="33">
        <f t="shared" si="5"/>
      </c>
      <c r="D83" s="23">
        <f t="shared" ref="D83:D101" si="6">A83*C83</f>
      </c>
      <c r="E83" s="31">
        <f t="shared" si="4"/>
      </c>
      <c r="F83" s="25">
        <f t="shared" ref="F83:F101" si="7">D83*E83/100</f>
      </c>
      <c r="G83" s="26">
        <f t="shared" ref="G83:G101" si="8">D83+F83</f>
      </c>
    </row>
    <row r="84" spans="1:7">
      <c r="A84" s="133">
        <f>IFERROR((LOOKUP(MATCH(B84,'00 ACC DETAILS 05'!$E$30:$E$112,0),'00 ACC DETAILS 05'!$A$30:$A$112,'00 ACC DETAILS 05'!$D$30:$D$112)),0)</f>
      </c>
      <c r="B84" t="s" s="34">
        <v>79</v>
      </c>
      <c r="C84" s="35">
        <f t="shared" si="5"/>
      </c>
      <c r="D84" s="23">
        <f t="shared" si="6"/>
      </c>
      <c r="E84" s="31">
        <f t="shared" si="4"/>
      </c>
      <c r="F84" s="25">
        <f t="shared" si="7"/>
      </c>
      <c r="G84" s="26">
        <f t="shared" si="8"/>
      </c>
    </row>
    <row r="85" spans="1:7">
      <c r="A85" s="133">
        <f>IFERROR((LOOKUP(MATCH(B85,'00 ACC DETAILS 05'!$E$30:$E$112,0),'00 ACC DETAILS 05'!$A$30:$A$112,'00 ACC DETAILS 05'!$D$30:$D$112)),0)</f>
      </c>
      <c r="B85" t="s" s="34">
        <v>80</v>
      </c>
      <c r="C85" s="35">
        <f t="shared" si="5"/>
      </c>
      <c r="D85" s="23">
        <f t="shared" si="6"/>
      </c>
      <c r="E85" s="31">
        <f t="shared" si="4"/>
      </c>
      <c r="F85" s="25">
        <f t="shared" si="7"/>
      </c>
      <c r="G85" s="26">
        <f t="shared" si="8"/>
      </c>
    </row>
    <row r="86" spans="1:7">
      <c r="A86" s="133">
        <f>IFERROR((LOOKUP(MATCH(B86,'00 ACC DETAILS 05'!$E$30:$E$112,0),'00 ACC DETAILS 05'!$A$30:$A$112,'00 ACC DETAILS 05'!$D$30:$D$112)),0)</f>
      </c>
      <c r="B86" t="s" s="34">
        <v>81</v>
      </c>
      <c r="C86" s="35">
        <v>2250</v>
      </c>
      <c r="D86" s="23">
        <f t="shared" si="6"/>
      </c>
      <c r="E86" s="31">
        <f t="shared" si="4"/>
      </c>
      <c r="F86" s="25">
        <f t="shared" si="7"/>
      </c>
      <c r="G86" s="26">
        <f t="shared" si="8"/>
      </c>
    </row>
    <row r="87" spans="1:7">
      <c r="A87" s="133">
        <f>IFERROR((LOOKUP(MATCH(B87,'00 ACC DETAILS 05'!$E$30:$E$112,0),'00 ACC DETAILS 05'!$A$30:$A$112,'00 ACC DETAILS 05'!$D$30:$D$112)),0)</f>
      </c>
      <c r="B87" t="s" s="34">
        <v>82</v>
      </c>
      <c r="C87" s="35">
        <f>C85</f>
      </c>
      <c r="D87" s="23">
        <f t="shared" si="6"/>
      </c>
      <c r="E87" s="31">
        <f t="shared" si="4"/>
      </c>
      <c r="F87" s="25">
        <f t="shared" si="7"/>
      </c>
      <c r="G87" s="26">
        <f t="shared" si="8"/>
      </c>
    </row>
    <row r="88" spans="1:7">
      <c r="A88" s="133">
        <f>IFERROR((LOOKUP(MATCH(B88,'00 ACC DETAILS 05'!$E$30:$E$112,0),'00 ACC DETAILS 05'!$A$30:$A$112,'00 ACC DETAILS 05'!$D$30:$D$112)),0)</f>
      </c>
      <c r="B88" t="s" s="34">
        <v>83</v>
      </c>
      <c r="C88" s="35">
        <f>C86</f>
      </c>
      <c r="D88" s="23">
        <f t="shared" si="6"/>
      </c>
      <c r="E88" s="31">
        <f t="shared" si="4"/>
      </c>
      <c r="F88" s="25">
        <f t="shared" si="7"/>
      </c>
      <c r="G88" s="26">
        <f t="shared" si="8"/>
      </c>
    </row>
    <row r="89" spans="1:7">
      <c r="A89" s="133">
        <f>IFERROR((LOOKUP(MATCH(B89,'00 ACC DETAILS 05'!$E$30:$E$112,0),'00 ACC DETAILS 05'!$A$30:$A$112,'00 ACC DETAILS 05'!$D$30:$D$112)),0)</f>
      </c>
      <c r="B89" t="s" s="36">
        <v>84</v>
      </c>
      <c r="C89" s="37">
        <f>C87</f>
      </c>
      <c r="D89" s="23">
        <f t="shared" si="6"/>
      </c>
      <c r="E89" s="31">
        <f t="shared" ref="E89:E100" si="9">E90+6</f>
      </c>
      <c r="F89" s="25">
        <f t="shared" si="7"/>
      </c>
      <c r="G89" s="26">
        <f t="shared" si="8"/>
      </c>
    </row>
    <row r="90" spans="1:7">
      <c r="A90" s="133">
        <f>IFERROR((LOOKUP(MATCH(B90,'00 ACC DETAILS 05'!$E$30:$E$112,0),'00 ACC DETAILS 05'!$A$30:$A$112,'00 ACC DETAILS 05'!$D$30:$D$112)),0)</f>
      </c>
      <c r="B90" t="s" s="34">
        <v>85</v>
      </c>
      <c r="C90" s="35">
        <f>C88</f>
      </c>
      <c r="D90" s="23">
        <f t="shared" si="6"/>
      </c>
      <c r="E90" s="31">
        <f t="shared" si="9"/>
      </c>
      <c r="F90" s="25">
        <f t="shared" si="7"/>
      </c>
      <c r="G90" s="26">
        <f t="shared" si="8"/>
      </c>
    </row>
    <row r="91" spans="1:7">
      <c r="A91" s="133">
        <f>IFERROR((LOOKUP(MATCH(B91,'00 ACC DETAILS 05'!$E$30:$E$112,0),'00 ACC DETAILS 05'!$A$30:$A$112,'00 ACC DETAILS 05'!$D$30:$D$112)),0)</f>
      </c>
      <c r="B91" t="s" s="34">
        <v>86</v>
      </c>
      <c r="C91" s="35">
        <f>C89</f>
      </c>
      <c r="D91" s="23">
        <f t="shared" si="6"/>
      </c>
      <c r="E91" s="31">
        <f t="shared" si="9"/>
      </c>
      <c r="F91" s="25">
        <f t="shared" si="7"/>
      </c>
      <c r="G91" s="26">
        <f t="shared" si="8"/>
      </c>
    </row>
    <row r="92" spans="1:7">
      <c r="A92" s="133">
        <f>IFERROR((LOOKUP(MATCH(B92,'00 ACC DETAILS 05'!$E$30:$E$112,0),'00 ACC DETAILS 05'!$A$30:$A$112,'00 ACC DETAILS 05'!$D$30:$D$112)),0)</f>
      </c>
      <c r="B92" t="s" s="34">
        <v>87</v>
      </c>
      <c r="C92" s="35">
        <v>2550</v>
      </c>
      <c r="D92" s="23">
        <f t="shared" si="6"/>
      </c>
      <c r="E92" s="31">
        <f t="shared" si="9"/>
      </c>
      <c r="F92" s="25">
        <f t="shared" si="7"/>
      </c>
      <c r="G92" s="26">
        <f t="shared" si="8"/>
      </c>
    </row>
    <row r="93" spans="1:7">
      <c r="A93" s="133">
        <f>IFERROR((LOOKUP(MATCH(B93,'00 ACC DETAILS 05'!$E$30:$E$112,0),'00 ACC DETAILS 05'!$A$30:$A$112,'00 ACC DETAILS 05'!$D$30:$D$112)),0)</f>
      </c>
      <c r="B93" t="s" s="36">
        <v>88</v>
      </c>
      <c r="C93" s="37">
        <v>1700</v>
      </c>
      <c r="D93" s="23">
        <f t="shared" si="6"/>
      </c>
      <c r="E93" s="31">
        <f t="shared" si="9"/>
      </c>
      <c r="F93" s="25">
        <f t="shared" si="7"/>
      </c>
      <c r="G93" s="26">
        <f t="shared" si="8"/>
      </c>
    </row>
    <row r="94" spans="1:7">
      <c r="A94" s="133">
        <f>IFERROR((LOOKUP(MATCH(B94,'00 ACC DETAILS 05'!$E$30:$E$112,0),'00 ACC DETAILS 05'!$A$30:$A$112,'00 ACC DETAILS 05'!$D$30:$D$112)),0)</f>
      </c>
      <c r="B94" t="s" s="34">
        <v>89</v>
      </c>
      <c r="C94" s="35">
        <f>17*150</f>
      </c>
      <c r="D94" s="23">
        <f t="shared" si="6"/>
      </c>
      <c r="E94" s="31">
        <f t="shared" si="9"/>
      </c>
      <c r="F94" s="25">
        <f t="shared" si="7"/>
      </c>
      <c r="G94" s="26">
        <f t="shared" si="8"/>
      </c>
    </row>
    <row r="95" spans="1:7">
      <c r="A95" s="133">
        <f>IFERROR((LOOKUP(MATCH(B95,'00 ACC DETAILS 05'!$E$30:$E$112,0),'00 ACC DETAILS 05'!$A$30:$A$112,'00 ACC DETAILS 05'!$D$30:$D$112)),0)</f>
      </c>
      <c r="B95" t="s" s="34">
        <v>90</v>
      </c>
      <c r="C95" s="35">
        <f>17*100</f>
      </c>
      <c r="D95" s="23">
        <f t="shared" si="6"/>
      </c>
      <c r="E95" s="31">
        <f t="shared" si="9"/>
      </c>
      <c r="F95" s="25">
        <f t="shared" si="7"/>
      </c>
      <c r="G95" s="26">
        <f t="shared" si="8"/>
      </c>
    </row>
    <row r="96" spans="1:7">
      <c r="A96" s="133">
        <f>IFERROR((LOOKUP(MATCH(B96,'00 ACC DETAILS 05'!$E$30:$E$112,0),'00 ACC DETAILS 05'!$A$30:$A$112,'00 ACC DETAILS 05'!$D$30:$D$112)),0)</f>
      </c>
      <c r="B96" t="s" s="34">
        <v>91</v>
      </c>
      <c r="C96" s="35">
        <f>C94</f>
      </c>
      <c r="D96" s="23">
        <f t="shared" si="6"/>
      </c>
      <c r="E96" s="31">
        <f t="shared" si="9"/>
      </c>
      <c r="F96" s="25">
        <f t="shared" si="7"/>
      </c>
      <c r="G96" s="26">
        <f t="shared" si="8"/>
      </c>
    </row>
    <row r="97" spans="1:7">
      <c r="A97" s="133">
        <f>IFERROR((LOOKUP(MATCH(B97,'00 ACC DETAILS 05'!$E$30:$E$112,0),'00 ACC DETAILS 05'!$A$30:$A$112,'00 ACC DETAILS 05'!$D$30:$D$112)),0)</f>
      </c>
      <c r="B97" t="s" s="34">
        <v>92</v>
      </c>
      <c r="C97" s="35">
        <f>17*100</f>
      </c>
      <c r="D97" s="23">
        <f t="shared" si="6"/>
      </c>
      <c r="E97" s="31">
        <f t="shared" si="9"/>
      </c>
      <c r="F97" s="25">
        <f t="shared" si="7"/>
      </c>
      <c r="G97" s="26">
        <f t="shared" si="8"/>
      </c>
    </row>
    <row r="98" spans="1:7">
      <c r="A98" s="133">
        <f>IFERROR((LOOKUP(MATCH(B98,'00 ACC DETAILS 05'!$E$30:$E$112,0),'00 ACC DETAILS 05'!$A$30:$A$112,'00 ACC DETAILS 05'!$D$30:$D$112)),0)</f>
      </c>
      <c r="B98" t="s" s="34">
        <v>93</v>
      </c>
      <c r="C98" s="35">
        <f>C96</f>
      </c>
      <c r="D98" s="23">
        <f t="shared" si="6"/>
      </c>
      <c r="E98" s="31">
        <f t="shared" si="9"/>
      </c>
      <c r="F98" s="25">
        <f t="shared" si="7"/>
      </c>
      <c r="G98" s="26">
        <f t="shared" si="8"/>
      </c>
    </row>
    <row r="99" spans="1:7">
      <c r="A99" s="133">
        <f>IFERROR((LOOKUP(MATCH(B99,'00 ACC DETAILS 05'!$E$30:$E$112,0),'00 ACC DETAILS 05'!$A$30:$A$112,'00 ACC DETAILS 05'!$D$30:$D$112)),0)</f>
      </c>
      <c r="B99" t="s" s="34">
        <v>94</v>
      </c>
      <c r="C99" s="35">
        <f>17*100</f>
      </c>
      <c r="D99" s="23">
        <f t="shared" si="6"/>
      </c>
      <c r="E99" s="31">
        <f t="shared" si="9"/>
      </c>
      <c r="F99" s="25">
        <f t="shared" si="7"/>
      </c>
      <c r="G99" s="38">
        <f t="shared" si="8"/>
      </c>
    </row>
    <row r="100" spans="1:7">
      <c r="A100" s="133">
        <f>IFERROR((LOOKUP(MATCH(B100,'00 ACC DETAILS 05'!$E$30:$E$112,0),'00 ACC DETAILS 05'!$A$30:$A$112,'00 ACC DETAILS 05'!$D$30:$D$112)),0)</f>
      </c>
      <c r="B100" t="s" s="34">
        <v>95</v>
      </c>
      <c r="C100" s="35">
        <f>C98</f>
      </c>
      <c r="D100" s="23">
        <f t="shared" si="6"/>
      </c>
      <c r="E100" s="31">
        <f t="shared" si="9"/>
      </c>
      <c r="F100" s="39">
        <f t="shared" si="7"/>
      </c>
      <c r="G100" s="40">
        <f t="shared" si="8"/>
      </c>
    </row>
    <row r="101" spans="1:7">
      <c r="A101" s="133">
        <f>IFERROR((LOOKUP(MATCH(B101,'00 ACC DETAILS 05'!$E$30:$E$112,0),'00 ACC DETAILS 05'!$A$30:$A$112,'00 ACC DETAILS 05'!$D$30:$D$112)),0)</f>
      </c>
      <c r="B101" t="s" s="34">
        <v>96</v>
      </c>
      <c r="C101" s="35">
        <f>17*100</f>
      </c>
      <c r="D101" s="23">
        <f t="shared" si="6"/>
      </c>
      <c r="E101" s="31">
        <v>11</v>
      </c>
      <c r="F101" s="39">
        <f t="shared" si="7"/>
      </c>
      <c r="G101" s="40">
        <f t="shared" si="8"/>
      </c>
    </row>
    <row r="102" spans="1:7" ht="18">
      <c r="A102" t="s" s="213">
        <v>97</v>
      </c>
      <c r="B102" s="213"/>
      <c r="C102" s="213"/>
      <c r="D102" s="41">
        <f>SUM(D19:D101)</f>
      </c>
      <c r="E102" s="42"/>
      <c r="F102" s="41">
        <f>SUM(F19:F101)</f>
      </c>
      <c r="G102" s="42">
        <f>SUM(G19:G101)</f>
      </c>
    </row>
    <row r="103" spans="1:7">
      <c r="A103" t="s" s="43">
        <v>98</v>
      </c>
      <c r="B103" s="44"/>
      <c r="C103" s="44"/>
      <c r="D103" s="214"/>
      <c r="E103" s="214"/>
      <c r="F103" s="215"/>
      <c r="G103" s="40">
        <v>0</v>
      </c>
    </row>
    <row r="104" spans="1:7" ht="20">
      <c r="A104" t="s" s="216">
        <v>99</v>
      </c>
      <c r="B104" s="216"/>
      <c r="C104" s="216"/>
      <c r="D104" s="216"/>
      <c r="E104" s="216"/>
      <c r="F104" s="217"/>
      <c r="G104" s="45">
        <f>G102+G103</f>
      </c>
    </row>
    <row r="105" spans="1:7">
      <c r="A105" t="s" s="46">
        <v>100</v>
      </c>
      <c r="B105" s="4"/>
      <c r="C105" s="4"/>
      <c r="D105" s="47"/>
      <c r="E105" s="48"/>
      <c r="F105" s="49"/>
      <c r="G105" s="50"/>
    </row>
    <row r="106" spans="1:7">
      <c r="A106" s="4"/>
      <c r="B106" s="4"/>
      <c r="C106" s="4"/>
      <c r="D106" s="47"/>
      <c r="E106" s="48"/>
      <c r="F106" s="49"/>
      <c r="G106" s="50"/>
    </row>
    <row r="107" spans="1:7">
      <c r="A107" t="s" s="4">
        <v>101</v>
      </c>
      <c r="B107" s="4"/>
      <c r="C107" t="s" s="4">
        <v>102</v>
      </c>
      <c r="D107" t="s" s="4">
        <v>103</v>
      </c>
      <c r="E107" s="4"/>
      <c r="F107" s="4"/>
      <c r="G107" t="s" s="4">
        <v>104</v>
      </c>
    </row>
    <row r="108" spans="1:7">
      <c r="A108" s="4"/>
      <c r="B108" s="4"/>
      <c r="C108" s="4"/>
      <c r="D108" s="4"/>
      <c r="E108" s="4"/>
      <c r="F108" s="4"/>
      <c r="G108" s="7"/>
    </row>
    <row r="109" spans="1:7">
      <c r="A109" t="s" s="218">
        <v>105</v>
      </c>
      <c r="B109" s="219"/>
      <c r="C109" t="s" s="218">
        <v>106</v>
      </c>
      <c r="D109" s="219"/>
      <c r="E109" t="s" s="218">
        <v>107</v>
      </c>
      <c r="F109" s="218"/>
      <c r="G109" t="s" s="51">
        <v>108</v>
      </c>
    </row>
    <row r="110" spans="1:7">
      <c r="A110" t="s" s="207">
        <v>109</v>
      </c>
      <c r="B110" s="208"/>
      <c r="C110" t="s" s="208">
        <v>110</v>
      </c>
      <c r="D110" s="208"/>
      <c r="E110" t="s" s="208">
        <v>111</v>
      </c>
      <c r="F110" s="208"/>
      <c r="G110" t="s" s="7">
        <v>112</v>
      </c>
    </row>
    <row r="111" spans="1:7">
      <c r="A111" s="52"/>
      <c r="B111" s="7"/>
      <c r="C111" s="7"/>
      <c r="D111" s="7"/>
      <c r="E111" s="7"/>
      <c r="F111" s="7"/>
      <c r="G111" s="7"/>
    </row>
    <row r="112" spans="1:7">
      <c r="A112" s="52"/>
      <c r="B112" s="7"/>
      <c r="C112" s="7"/>
      <c r="D112" s="7"/>
      <c r="E112" s="7"/>
      <c r="F112" s="7"/>
      <c r="G112" s="7"/>
    </row>
    <row r="113" spans="1:7">
      <c r="A113" s="52"/>
      <c r="B113" s="7"/>
      <c r="C113" s="7"/>
      <c r="D113" s="7"/>
      <c r="E113" s="7"/>
      <c r="F113" s="7"/>
      <c r="G113" s="7"/>
    </row>
    <row r="114" spans="1:7">
      <c r="A114" s="52"/>
      <c r="B114" s="7"/>
      <c r="C114" s="7"/>
      <c r="D114" s="7"/>
      <c r="E114" s="7"/>
      <c r="F114" s="7"/>
      <c r="G114" s="7"/>
    </row>
    <row r="115" spans="1:7">
      <c r="A115" s="52"/>
      <c r="B115" s="7"/>
      <c r="C115" s="7"/>
      <c r="D115" s="7"/>
      <c r="E115" s="7"/>
      <c r="F115" s="7"/>
      <c r="G115" s="7"/>
    </row>
    <row r="116" spans="1:7">
      <c r="A116" s="52"/>
      <c r="B116" s="7"/>
      <c r="C116" s="7"/>
      <c r="D116" s="7"/>
      <c r="E116" s="7"/>
      <c r="F116" s="7"/>
      <c r="G116" s="7"/>
    </row>
    <row r="117" spans="1:7">
      <c r="A117" s="52"/>
      <c r="B117" s="7"/>
      <c r="C117" s="7"/>
      <c r="D117" s="7"/>
      <c r="E117" s="7"/>
      <c r="F117" s="7"/>
      <c r="G117" s="7"/>
    </row>
    <row r="118" spans="1:7">
      <c r="A118" s="52"/>
      <c r="B118" s="7"/>
      <c r="C118" s="7"/>
      <c r="D118" s="7"/>
      <c r="E118" s="7"/>
      <c r="F118" s="7"/>
      <c r="G118" s="7"/>
    </row>
    <row r="119" spans="1:7">
      <c r="A119" t="s" s="221">
        <v>113</v>
      </c>
      <c r="B119" s="221"/>
      <c r="C119" s="221"/>
      <c r="D119" s="221"/>
      <c r="E119" s="221"/>
      <c r="F119" s="221"/>
      <c r="G119" s="221"/>
    </row>
    <row r="120" spans="1:7" ht="23">
      <c r="A120" t="s" s="222">
        <v>114</v>
      </c>
      <c r="B120" s="222"/>
      <c r="C120" s="222"/>
      <c r="D120" s="222"/>
      <c r="E120" s="222"/>
      <c r="F120" s="222"/>
      <c r="G120" s="222"/>
    </row>
    <row r="121" spans="1:7">
      <c r="A121" t="s" s="223">
        <v>289</v>
      </c>
      <c r="B121" s="223"/>
      <c r="C121" s="223"/>
      <c r="D121" s="223"/>
      <c r="E121" s="223"/>
      <c r="F121" s="223"/>
      <c r="G121" s="223"/>
    </row>
    <row r="122" spans="1:7" ht="16">
      <c r="A122" t="s" s="224">
        <v>115</v>
      </c>
      <c r="B122" s="224"/>
      <c r="C122" s="224"/>
      <c r="D122" s="224"/>
      <c r="E122" s="224"/>
      <c r="F122" s="224"/>
      <c r="G122" s="224"/>
    </row>
    <row r="123" spans="1:7">
      <c r="A123" t="s" s="225">
        <v>116</v>
      </c>
      <c r="B123" s="225"/>
      <c r="C123" s="225"/>
      <c r="D123" s="225"/>
      <c r="E123" s="225"/>
      <c r="F123" s="225"/>
      <c r="G123" s="225"/>
    </row>
    <row r="124" spans="1:7">
      <c r="A124" s="1"/>
      <c r="B124" s="2"/>
      <c r="C124" s="2"/>
      <c r="D124" s="2"/>
      <c r="E124" s="2"/>
      <c r="F124" s="2"/>
      <c r="G124" s="2"/>
    </row>
    <row r="125" spans="1:7">
      <c r="A125" t="s" s="3">
        <v>117</v>
      </c>
      <c r="B125" s="3"/>
      <c r="C125" s="3"/>
      <c r="D125" s="3"/>
      <c r="E125" s="3"/>
      <c r="F125" s="4"/>
      <c r="G125" t="s" s="5">
        <v>118</v>
      </c>
    </row>
    <row r="126" spans="1:7">
      <c r="A126" t="s" s="3">
        <v>119</v>
      </c>
      <c r="B126" s="3"/>
      <c r="C126" s="3"/>
      <c r="D126" s="3"/>
      <c r="E126" s="3"/>
      <c r="F126" s="4"/>
      <c r="G126" t="s" s="5">
        <v>120</v>
      </c>
    </row>
    <row r="127" spans="1:7">
      <c r="A127" t="s" s="3">
        <v>121</v>
      </c>
      <c r="B127" s="3"/>
      <c r="C127" s="3"/>
      <c r="D127" s="3"/>
      <c r="E127" s="3"/>
      <c r="F127" s="3"/>
      <c r="G127" s="3"/>
    </row>
    <row r="128" spans="1:7">
      <c r="A128" s="3"/>
      <c r="B128" s="3"/>
      <c r="C128" s="3"/>
      <c r="D128" s="3"/>
      <c r="E128" s="3"/>
      <c r="F128" s="3"/>
      <c r="G128" s="3"/>
    </row>
    <row r="129" spans="1:7" ht="20">
      <c r="A129" t="s" s="202">
        <v>0</v>
      </c>
      <c r="B129" s="202"/>
      <c r="C129" s="202"/>
      <c r="D129" s="202"/>
      <c r="E129" s="202"/>
      <c r="F129" s="202"/>
      <c r="G129" s="202"/>
    </row>
    <row r="130" spans="1:7">
      <c r="A130" s="208">
        <f ca="1">A12</f>
      </c>
      <c r="B130" s="208"/>
      <c r="C130" s="208"/>
      <c r="D130" s="208"/>
      <c r="E130" s="208"/>
      <c r="F130" s="208"/>
      <c r="G130" s="208"/>
    </row>
    <row r="131" spans="1:7">
      <c r="A131" s="210"/>
      <c r="B131" s="210"/>
      <c r="C131" s="6"/>
      <c r="D131" s="7"/>
      <c r="E131" s="4"/>
      <c r="F131" s="7"/>
      <c r="G131" s="7"/>
    </row>
    <row r="132" spans="1:7" ht="20">
      <c r="A132" t="s" s="226">
        <v>1</v>
      </c>
      <c r="B132" s="226"/>
      <c r="C132" s="53">
        <f>C14</f>
      </c>
      <c r="D132" s="4"/>
      <c r="E132" s="4"/>
      <c r="F132" t="s" s="54">
        <v>2</v>
      </c>
      <c r="G132" s="55">
        <f>G14</f>
      </c>
    </row>
    <row r="133" spans="1:7" ht="20">
      <c r="A133" t="s" s="4">
        <v>3</v>
      </c>
      <c r="B133" s="56"/>
      <c r="C133" s="53">
        <f>C15</f>
      </c>
      <c r="D133" s="4"/>
      <c r="E133" s="4"/>
      <c r="F133" t="s" s="54">
        <v>4</v>
      </c>
      <c r="G133" s="57">
        <f>G15</f>
      </c>
    </row>
    <row r="134" spans="1:7" ht="16">
      <c r="A134" t="s" s="4">
        <v>5</v>
      </c>
      <c r="B134" s="58"/>
      <c r="C134" s="227"/>
      <c r="D134" s="227"/>
      <c r="E134" t="s" s="4">
        <v>6</v>
      </c>
      <c r="F134" s="228"/>
      <c r="G134" s="228"/>
    </row>
    <row r="135" spans="1:7" ht="17" thickBot="1">
      <c r="A135" t="s" s="4">
        <v>290</v>
      </c>
      <c r="B135" s="4"/>
      <c r="C135" s="58">
        <f>C17</f>
      </c>
      <c r="D135" s="59"/>
      <c r="E135" t="s" s="4">
        <v>6</v>
      </c>
      <c r="F135" s="220"/>
      <c r="G135" s="220"/>
    </row>
    <row r="136" spans="1:7" ht="16" thickBot="1">
      <c r="A136" t="s" s="20">
        <v>7</v>
      </c>
      <c r="B136" t="s" s="20">
        <v>8</v>
      </c>
      <c r="C136" t="s" s="20">
        <v>9</v>
      </c>
      <c r="D136" t="s" s="20">
        <v>10</v>
      </c>
      <c r="E136" t="s" s="21">
        <v>11</v>
      </c>
      <c r="F136" t="s" s="20">
        <v>12</v>
      </c>
      <c r="G136" t="s" s="20">
        <v>13</v>
      </c>
    </row>
    <row r="137" spans="1:7" ht="16">
      <c r="A137" s="60">
        <f t="shared" ref="A137:A200" si="10">A19</f>
      </c>
      <c r="B137" t="s" s="61">
        <v>14</v>
      </c>
      <c r="C137" s="35">
        <f>1.1*100</f>
      </c>
      <c r="D137" s="23">
        <f t="shared" ref="D137:D200" si="11">A137*C137</f>
      </c>
      <c r="E137" s="24"/>
      <c r="F137" s="25">
        <f t="shared" ref="F137:F200" si="12">D137*E137/100</f>
      </c>
      <c r="G137" s="26">
        <f t="shared" ref="G137:G200" si="13">D137+F137</f>
      </c>
    </row>
    <row r="138" spans="1:7" ht="16">
      <c r="A138" s="62">
        <f t="shared" si="10"/>
      </c>
      <c r="B138" t="s" s="30">
        <v>15</v>
      </c>
      <c r="C138" s="35">
        <f>1.1*150</f>
      </c>
      <c r="D138" s="28">
        <f t="shared" si="11"/>
      </c>
      <c r="E138" s="29"/>
      <c r="F138" s="63">
        <f t="shared" si="12"/>
      </c>
      <c r="G138" s="64">
        <f t="shared" si="13"/>
      </c>
    </row>
    <row r="139" spans="1:7" ht="16">
      <c r="A139" s="62">
        <f t="shared" si="10"/>
      </c>
      <c r="B139" t="s" s="30">
        <v>16</v>
      </c>
      <c r="C139" s="35">
        <f>1.1*100</f>
      </c>
      <c r="D139" s="28">
        <f t="shared" si="11"/>
      </c>
      <c r="E139" s="29"/>
      <c r="F139" s="63">
        <f t="shared" si="12"/>
      </c>
      <c r="G139" s="64">
        <f t="shared" si="13"/>
      </c>
    </row>
    <row r="140" spans="1:7" ht="16">
      <c r="A140" s="62">
        <f t="shared" si="10"/>
      </c>
      <c r="B140" t="s" s="30">
        <v>17</v>
      </c>
      <c r="C140" s="35">
        <f>1.1*150</f>
      </c>
      <c r="D140" s="28">
        <f t="shared" si="11"/>
      </c>
      <c r="E140" s="29"/>
      <c r="F140" s="63">
        <f t="shared" si="12"/>
      </c>
      <c r="G140" s="64">
        <f t="shared" si="13"/>
      </c>
    </row>
    <row r="141" spans="1:7" ht="16">
      <c r="A141" s="62">
        <f t="shared" si="10"/>
      </c>
      <c r="B141" t="s" s="30">
        <v>18</v>
      </c>
      <c r="C141" s="35">
        <f>1.1*100</f>
      </c>
      <c r="D141" s="28">
        <f t="shared" si="11"/>
      </c>
      <c r="E141" s="29"/>
      <c r="F141" s="63">
        <f t="shared" si="12"/>
      </c>
      <c r="G141" s="64">
        <f t="shared" si="13"/>
      </c>
    </row>
    <row r="142" spans="1:7" ht="16">
      <c r="A142" s="62">
        <f t="shared" si="10"/>
      </c>
      <c r="B142" t="s" s="30">
        <v>19</v>
      </c>
      <c r="C142" s="35">
        <f>1.1*150</f>
      </c>
      <c r="D142" s="28">
        <f t="shared" si="11"/>
      </c>
      <c r="E142" s="29"/>
      <c r="F142" s="63">
        <f t="shared" si="12"/>
      </c>
      <c r="G142" s="64">
        <f t="shared" si="13"/>
      </c>
    </row>
    <row r="143" spans="1:7" ht="16">
      <c r="A143" s="62">
        <f t="shared" si="10"/>
      </c>
      <c r="B143" t="s" s="30">
        <v>20</v>
      </c>
      <c r="C143" s="35">
        <f>1.1*100</f>
      </c>
      <c r="D143" s="28">
        <f t="shared" si="11"/>
      </c>
      <c r="E143" s="29"/>
      <c r="F143" s="63">
        <f t="shared" si="12"/>
      </c>
      <c r="G143" s="64">
        <f t="shared" si="13"/>
      </c>
    </row>
    <row r="144" spans="1:7" ht="16">
      <c r="A144" s="62">
        <f t="shared" si="10"/>
      </c>
      <c r="B144" t="s" s="30">
        <v>21</v>
      </c>
      <c r="C144" s="35">
        <f>1.1*150</f>
      </c>
      <c r="D144" s="28">
        <f t="shared" si="11"/>
      </c>
      <c r="E144" s="29"/>
      <c r="F144" s="63">
        <f t="shared" si="12"/>
      </c>
      <c r="G144" s="64">
        <f t="shared" si="13"/>
      </c>
    </row>
    <row r="145" spans="1:7" ht="16">
      <c r="A145" s="62">
        <f t="shared" si="10"/>
      </c>
      <c r="B145" t="s" s="30">
        <v>22</v>
      </c>
      <c r="C145" s="35">
        <f>1.3*100</f>
      </c>
      <c r="D145" s="28">
        <f t="shared" si="11"/>
      </c>
      <c r="E145" s="29"/>
      <c r="F145" s="63">
        <f t="shared" si="12"/>
      </c>
      <c r="G145" s="64">
        <f t="shared" si="13"/>
      </c>
    </row>
    <row r="146" spans="1:7" ht="16">
      <c r="A146" s="62">
        <f t="shared" si="10"/>
      </c>
      <c r="B146" t="s" s="30">
        <v>23</v>
      </c>
      <c r="C146" s="35">
        <f>1.3*150</f>
      </c>
      <c r="D146" s="28">
        <f t="shared" si="11"/>
      </c>
      <c r="E146" s="29"/>
      <c r="F146" s="63">
        <f t="shared" si="12"/>
      </c>
      <c r="G146" s="64">
        <f t="shared" si="13"/>
      </c>
    </row>
    <row r="147" spans="1:7" ht="16">
      <c r="A147" s="62">
        <f t="shared" si="10"/>
      </c>
      <c r="B147" t="s" s="30">
        <v>24</v>
      </c>
      <c r="C147" s="35">
        <f>1.3*100</f>
      </c>
      <c r="D147" s="28">
        <f t="shared" si="11"/>
      </c>
      <c r="E147" s="29"/>
      <c r="F147" s="63">
        <f t="shared" si="12"/>
      </c>
      <c r="G147" s="64">
        <f t="shared" si="13"/>
      </c>
    </row>
    <row r="148" spans="1:7" ht="16">
      <c r="A148" s="62">
        <f t="shared" si="10"/>
      </c>
      <c r="B148" t="s" s="30">
        <v>25</v>
      </c>
      <c r="C148" s="35">
        <f>1.4*150</f>
      </c>
      <c r="D148" s="28">
        <f t="shared" si="11"/>
      </c>
      <c r="E148" s="29"/>
      <c r="F148" s="63">
        <f t="shared" si="12"/>
      </c>
      <c r="G148" s="64">
        <f t="shared" si="13"/>
      </c>
    </row>
    <row r="149" spans="1:7" ht="16">
      <c r="A149" s="62">
        <f t="shared" si="10"/>
      </c>
      <c r="B149" t="s" s="30">
        <v>26</v>
      </c>
      <c r="C149" s="35">
        <f>1.45*100</f>
      </c>
      <c r="D149" s="28">
        <f t="shared" si="11"/>
      </c>
      <c r="E149" s="29"/>
      <c r="F149" s="63">
        <f t="shared" si="12"/>
      </c>
      <c r="G149" s="64">
        <f t="shared" si="13"/>
      </c>
    </row>
    <row r="150" spans="1:7" ht="16">
      <c r="A150" s="62">
        <f t="shared" si="10"/>
      </c>
      <c r="B150" t="s" s="30">
        <v>27</v>
      </c>
      <c r="C150" s="35">
        <f>1.55*150</f>
      </c>
      <c r="D150" s="28">
        <f t="shared" si="11"/>
      </c>
      <c r="E150" s="29"/>
      <c r="F150" s="63">
        <f t="shared" si="12"/>
      </c>
      <c r="G150" s="64">
        <f t="shared" si="13"/>
      </c>
    </row>
    <row r="151" spans="1:7" ht="16">
      <c r="A151" s="62">
        <f t="shared" si="10"/>
      </c>
      <c r="B151" t="s" s="30">
        <v>28</v>
      </c>
      <c r="C151" s="35">
        <f>1.55*100</f>
      </c>
      <c r="D151" s="28">
        <f t="shared" si="11"/>
      </c>
      <c r="E151" s="29"/>
      <c r="F151" s="63">
        <f t="shared" si="12"/>
      </c>
      <c r="G151" s="64">
        <f t="shared" si="13"/>
      </c>
    </row>
    <row r="152" spans="1:7" ht="16">
      <c r="A152" s="62">
        <f t="shared" si="10"/>
      </c>
      <c r="B152" t="s" s="30">
        <v>29</v>
      </c>
      <c r="C152" s="35">
        <f>1.7*150</f>
      </c>
      <c r="D152" s="28">
        <f t="shared" si="11"/>
      </c>
      <c r="E152" s="29"/>
      <c r="F152" s="63">
        <f t="shared" si="12"/>
      </c>
      <c r="G152" s="64">
        <f t="shared" si="13"/>
      </c>
    </row>
    <row r="153" spans="1:7" ht="16">
      <c r="A153" s="62">
        <f t="shared" si="10"/>
      </c>
      <c r="B153" t="s" s="30">
        <v>30</v>
      </c>
      <c r="C153" s="35">
        <f>1.7*100</f>
      </c>
      <c r="D153" s="28">
        <f t="shared" si="11"/>
      </c>
      <c r="E153" s="29"/>
      <c r="F153" s="63">
        <f t="shared" si="12"/>
      </c>
      <c r="G153" s="64">
        <f t="shared" si="13"/>
      </c>
    </row>
    <row r="154" spans="1:7" ht="16">
      <c r="A154" s="62">
        <f t="shared" si="10"/>
      </c>
      <c r="B154" t="s" s="30">
        <v>31</v>
      </c>
      <c r="C154" s="35">
        <f>2.1*150</f>
      </c>
      <c r="D154" s="28">
        <f t="shared" si="11"/>
      </c>
      <c r="E154" s="29"/>
      <c r="F154" s="63">
        <f t="shared" si="12"/>
      </c>
      <c r="G154" s="64">
        <f t="shared" si="13"/>
      </c>
    </row>
    <row r="155" spans="1:7" ht="16">
      <c r="A155" s="62">
        <f t="shared" si="10"/>
      </c>
      <c r="B155" t="s" s="30">
        <v>32</v>
      </c>
      <c r="C155" s="35">
        <f>2.65*100</f>
      </c>
      <c r="D155" s="28">
        <f t="shared" si="11"/>
      </c>
      <c r="E155" s="29"/>
      <c r="F155" s="63">
        <f t="shared" si="12"/>
      </c>
      <c r="G155" s="64">
        <f t="shared" si="13"/>
      </c>
    </row>
    <row r="156" spans="1:7" ht="16">
      <c r="A156" s="62">
        <f t="shared" si="10"/>
      </c>
      <c r="B156" t="s" s="30">
        <v>33</v>
      </c>
      <c r="C156" s="35">
        <f>3.5*150</f>
      </c>
      <c r="D156" s="28">
        <f t="shared" si="11"/>
      </c>
      <c r="E156" s="29"/>
      <c r="F156" s="63">
        <f t="shared" si="12"/>
      </c>
      <c r="G156" s="64">
        <f t="shared" si="13"/>
      </c>
    </row>
    <row r="157" spans="1:7" ht="16">
      <c r="A157" s="62">
        <f t="shared" si="10"/>
      </c>
      <c r="B157" t="s" s="30">
        <v>34</v>
      </c>
      <c r="C157" s="35">
        <f>3.5*100</f>
      </c>
      <c r="D157" s="28">
        <f t="shared" si="11"/>
      </c>
      <c r="E157" s="29"/>
      <c r="F157" s="63">
        <f t="shared" si="12"/>
      </c>
      <c r="G157" s="64">
        <f t="shared" si="13"/>
      </c>
    </row>
    <row r="158" spans="1:7" ht="16">
      <c r="A158" s="62">
        <f t="shared" si="10"/>
      </c>
      <c r="B158" t="s" s="30">
        <v>35</v>
      </c>
      <c r="C158" s="35">
        <f>3.5*150</f>
      </c>
      <c r="D158" s="28">
        <f t="shared" si="11"/>
      </c>
      <c r="E158" s="29"/>
      <c r="F158" s="63">
        <f t="shared" si="12"/>
      </c>
      <c r="G158" s="64">
        <f t="shared" si="13"/>
      </c>
    </row>
    <row r="159" spans="1:7" ht="16">
      <c r="A159" s="62">
        <f t="shared" si="10"/>
      </c>
      <c r="B159" t="s" s="30">
        <v>36</v>
      </c>
      <c r="C159" s="35">
        <f>3.5*100</f>
      </c>
      <c r="D159" s="28">
        <f t="shared" si="11"/>
      </c>
      <c r="E159" s="29"/>
      <c r="F159" s="63">
        <f t="shared" si="12"/>
      </c>
      <c r="G159" s="64">
        <f t="shared" si="13"/>
      </c>
    </row>
    <row r="160" spans="1:7" ht="16">
      <c r="A160" s="62">
        <f t="shared" si="10"/>
      </c>
      <c r="B160" t="s" s="30">
        <v>37</v>
      </c>
      <c r="C160" s="35">
        <f>3.5*150</f>
      </c>
      <c r="D160" s="28">
        <f t="shared" si="11"/>
      </c>
      <c r="E160" s="29"/>
      <c r="F160" s="63">
        <f t="shared" si="12"/>
      </c>
      <c r="G160" s="64">
        <f t="shared" si="13"/>
      </c>
    </row>
    <row r="161" spans="1:7" ht="16">
      <c r="A161" s="62">
        <f t="shared" si="10"/>
      </c>
      <c r="B161" t="s" s="30">
        <v>38</v>
      </c>
      <c r="C161" s="35">
        <f>3.5*100</f>
      </c>
      <c r="D161" s="28">
        <f t="shared" si="11"/>
      </c>
      <c r="E161" s="29"/>
      <c r="F161" s="63">
        <f t="shared" si="12"/>
      </c>
      <c r="G161" s="64">
        <f t="shared" si="13"/>
      </c>
    </row>
    <row r="162" spans="1:7" ht="16">
      <c r="A162" s="62">
        <f t="shared" si="10"/>
      </c>
      <c r="B162" t="s" s="30">
        <v>39</v>
      </c>
      <c r="C162" s="35">
        <f>3.5*150</f>
      </c>
      <c r="D162" s="28">
        <f t="shared" si="11"/>
      </c>
      <c r="E162" s="29"/>
      <c r="F162" s="63">
        <f t="shared" si="12"/>
      </c>
      <c r="G162" s="64">
        <f t="shared" si="13"/>
      </c>
    </row>
    <row r="163" spans="1:7" ht="16">
      <c r="A163" s="62">
        <f t="shared" si="10"/>
      </c>
      <c r="B163" t="s" s="30">
        <v>40</v>
      </c>
      <c r="C163" s="35">
        <f>3.5*100</f>
      </c>
      <c r="D163" s="28">
        <f t="shared" si="11"/>
      </c>
      <c r="E163" s="29"/>
      <c r="F163" s="63">
        <f t="shared" si="12"/>
      </c>
      <c r="G163" s="64">
        <f t="shared" si="13"/>
      </c>
    </row>
    <row r="164" spans="1:7" ht="16">
      <c r="A164" s="62">
        <f t="shared" si="10"/>
      </c>
      <c r="B164" t="s" s="30">
        <v>41</v>
      </c>
      <c r="C164" s="35">
        <f>3.5*150</f>
      </c>
      <c r="D164" s="28">
        <f t="shared" si="11"/>
      </c>
      <c r="E164" s="29"/>
      <c r="F164" s="63">
        <f t="shared" si="12"/>
      </c>
      <c r="G164" s="64">
        <f t="shared" si="13"/>
      </c>
    </row>
    <row r="165" spans="1:7" ht="16">
      <c r="A165" s="62">
        <f t="shared" si="10"/>
      </c>
      <c r="B165" t="s" s="30">
        <v>42</v>
      </c>
      <c r="C165" s="35">
        <f>3.5*100</f>
      </c>
      <c r="D165" s="28">
        <f t="shared" si="11"/>
      </c>
      <c r="E165" s="29"/>
      <c r="F165" s="63">
        <f t="shared" si="12"/>
      </c>
      <c r="G165" s="64">
        <f t="shared" si="13"/>
      </c>
    </row>
    <row r="166" spans="1:7" ht="16">
      <c r="A166" s="62">
        <f t="shared" si="10"/>
      </c>
      <c r="B166" t="s" s="30">
        <v>43</v>
      </c>
      <c r="C166" s="35">
        <f>6*150</f>
      </c>
      <c r="D166" s="28">
        <f t="shared" si="11"/>
      </c>
      <c r="E166" s="29"/>
      <c r="F166" s="63">
        <f t="shared" si="12"/>
      </c>
      <c r="G166" s="64">
        <f t="shared" si="13"/>
      </c>
    </row>
    <row r="167" spans="1:7" ht="16">
      <c r="A167" s="62">
        <f t="shared" si="10"/>
      </c>
      <c r="B167" t="s" s="30">
        <v>44</v>
      </c>
      <c r="C167" s="35">
        <f>6*100</f>
      </c>
      <c r="D167" s="28">
        <f t="shared" si="11"/>
      </c>
      <c r="E167" s="29"/>
      <c r="F167" s="63">
        <f t="shared" si="12"/>
      </c>
      <c r="G167" s="64">
        <f t="shared" si="13"/>
      </c>
    </row>
    <row r="168" spans="1:7" ht="16">
      <c r="A168" s="62">
        <f t="shared" si="10"/>
      </c>
      <c r="B168" t="s" s="30">
        <v>45</v>
      </c>
      <c r="C168" s="35">
        <f>6*150</f>
      </c>
      <c r="D168" s="28">
        <f t="shared" si="11"/>
      </c>
      <c r="E168" s="29"/>
      <c r="F168" s="63">
        <f t="shared" si="12"/>
      </c>
      <c r="G168" s="64">
        <f t="shared" si="13"/>
      </c>
    </row>
    <row r="169" spans="1:7" ht="16">
      <c r="A169" s="62">
        <f t="shared" si="10"/>
      </c>
      <c r="B169" t="s" s="30">
        <v>46</v>
      </c>
      <c r="C169" s="35">
        <f>6*100</f>
      </c>
      <c r="D169" s="28">
        <f t="shared" si="11"/>
      </c>
      <c r="E169" s="29"/>
      <c r="F169" s="63">
        <f t="shared" si="12"/>
      </c>
      <c r="G169" s="64">
        <f t="shared" si="13"/>
      </c>
    </row>
    <row r="170" spans="1:7" ht="16">
      <c r="A170" s="62">
        <f t="shared" si="10"/>
      </c>
      <c r="B170" t="s" s="30">
        <v>47</v>
      </c>
      <c r="C170" s="35">
        <f>6*150</f>
      </c>
      <c r="D170" s="28">
        <f t="shared" si="11"/>
      </c>
      <c r="E170" s="29"/>
      <c r="F170" s="63">
        <f t="shared" si="12"/>
      </c>
      <c r="G170" s="64">
        <f t="shared" si="13"/>
      </c>
    </row>
    <row r="171" spans="1:7" ht="16">
      <c r="A171" s="62">
        <f t="shared" si="10"/>
      </c>
      <c r="B171" t="s" s="30">
        <v>48</v>
      </c>
      <c r="C171" s="35">
        <f>6*100</f>
      </c>
      <c r="D171" s="28">
        <f t="shared" si="11"/>
      </c>
      <c r="E171" s="29"/>
      <c r="F171" s="63">
        <f t="shared" si="12"/>
      </c>
      <c r="G171" s="64">
        <f t="shared" si="13"/>
      </c>
    </row>
    <row r="172" spans="1:7" ht="16">
      <c r="A172" s="62">
        <f t="shared" si="10"/>
      </c>
      <c r="B172" t="s" s="30">
        <v>49</v>
      </c>
      <c r="C172" s="35">
        <f>6*150</f>
      </c>
      <c r="D172" s="28">
        <f t="shared" si="11"/>
      </c>
      <c r="E172" s="29"/>
      <c r="F172" s="63">
        <f t="shared" si="12"/>
      </c>
      <c r="G172" s="64">
        <f t="shared" si="13"/>
      </c>
    </row>
    <row r="173" spans="1:7" ht="16">
      <c r="A173" s="62">
        <f t="shared" si="10"/>
      </c>
      <c r="B173" t="s" s="30">
        <v>50</v>
      </c>
      <c r="C173" s="35">
        <f>6*100</f>
      </c>
      <c r="D173" s="28">
        <f t="shared" si="11"/>
      </c>
      <c r="E173" s="29"/>
      <c r="F173" s="63">
        <f t="shared" si="12"/>
      </c>
      <c r="G173" s="64">
        <f t="shared" si="13"/>
      </c>
    </row>
    <row r="174" spans="1:7" ht="16">
      <c r="A174" s="62">
        <f t="shared" si="10"/>
      </c>
      <c r="B174" t="s" s="30">
        <v>51</v>
      </c>
      <c r="C174" s="35">
        <f>6*150</f>
      </c>
      <c r="D174" s="28">
        <f t="shared" si="11"/>
      </c>
      <c r="E174" s="29"/>
      <c r="F174" s="63">
        <f t="shared" si="12"/>
      </c>
      <c r="G174" s="64">
        <f t="shared" si="13"/>
      </c>
    </row>
    <row r="175" spans="1:7" ht="16">
      <c r="A175" s="62">
        <f t="shared" si="10"/>
      </c>
      <c r="B175" t="s" s="30">
        <v>52</v>
      </c>
      <c r="C175" s="35">
        <f>6*100</f>
      </c>
      <c r="D175" s="28">
        <f t="shared" si="11"/>
      </c>
      <c r="E175" s="29"/>
      <c r="F175" s="63">
        <f t="shared" si="12"/>
      </c>
      <c r="G175" s="64">
        <f t="shared" si="13"/>
      </c>
    </row>
    <row r="176" spans="1:7" ht="16">
      <c r="A176" s="62">
        <f t="shared" si="10"/>
      </c>
      <c r="B176" t="s" s="30">
        <v>53</v>
      </c>
      <c r="C176" s="35">
        <f>6*150</f>
      </c>
      <c r="D176" s="28">
        <f t="shared" si="11"/>
      </c>
      <c r="E176" s="29"/>
      <c r="F176" s="63">
        <f t="shared" si="12"/>
      </c>
      <c r="G176" s="64">
        <f t="shared" si="13"/>
      </c>
    </row>
    <row r="177" spans="1:7" ht="16">
      <c r="A177" s="62">
        <f t="shared" si="10"/>
      </c>
      <c r="B177" t="s" s="30">
        <v>54</v>
      </c>
      <c r="C177" s="35">
        <f>6*100</f>
      </c>
      <c r="D177" s="28">
        <f t="shared" si="11"/>
      </c>
      <c r="E177" s="29"/>
      <c r="F177" s="63">
        <f t="shared" si="12"/>
      </c>
      <c r="G177" s="64">
        <f t="shared" si="13"/>
      </c>
    </row>
    <row r="178" spans="1:7" ht="16">
      <c r="A178" s="62">
        <f t="shared" si="10"/>
      </c>
      <c r="B178" t="s" s="30">
        <v>55</v>
      </c>
      <c r="C178" s="35">
        <f>6*150</f>
      </c>
      <c r="D178" s="28">
        <f t="shared" si="11"/>
      </c>
      <c r="E178" s="29"/>
      <c r="F178" s="63">
        <f t="shared" si="12"/>
      </c>
      <c r="G178" s="64">
        <f t="shared" si="13"/>
      </c>
    </row>
    <row r="179" spans="1:7" ht="16">
      <c r="A179" s="62">
        <f t="shared" si="10"/>
      </c>
      <c r="B179" t="s" s="30">
        <v>56</v>
      </c>
      <c r="C179" s="35">
        <f>8*100</f>
      </c>
      <c r="D179" s="28">
        <f t="shared" si="11"/>
      </c>
      <c r="E179" s="29"/>
      <c r="F179" s="63">
        <f t="shared" si="12"/>
      </c>
      <c r="G179" s="64">
        <f t="shared" si="13"/>
      </c>
    </row>
    <row r="180" spans="1:7" ht="16">
      <c r="A180" s="62">
        <f t="shared" si="10"/>
      </c>
      <c r="B180" t="s" s="30">
        <v>57</v>
      </c>
      <c r="C180" s="35">
        <f>8*150</f>
      </c>
      <c r="D180" s="28">
        <f t="shared" si="11"/>
      </c>
      <c r="E180" s="29"/>
      <c r="F180" s="63">
        <f t="shared" si="12"/>
      </c>
      <c r="G180" s="64">
        <f t="shared" si="13"/>
      </c>
    </row>
    <row r="181" spans="1:7" ht="16">
      <c r="A181" s="62">
        <f t="shared" si="10"/>
      </c>
      <c r="B181" t="s" s="30">
        <v>58</v>
      </c>
      <c r="C181" s="35">
        <f>8*100</f>
      </c>
      <c r="D181" s="28">
        <f t="shared" si="11"/>
      </c>
      <c r="E181" s="29"/>
      <c r="F181" s="63">
        <f t="shared" si="12"/>
      </c>
      <c r="G181" s="64">
        <f t="shared" si="13"/>
      </c>
    </row>
    <row r="182" spans="1:7" ht="16">
      <c r="A182" s="62">
        <f t="shared" si="10"/>
      </c>
      <c r="B182" t="s" s="30">
        <v>59</v>
      </c>
      <c r="C182" s="28">
        <v>0</v>
      </c>
      <c r="D182" s="28">
        <f t="shared" si="11"/>
      </c>
      <c r="E182" s="29"/>
      <c r="F182" s="63">
        <f t="shared" si="12"/>
      </c>
      <c r="G182" s="64">
        <f t="shared" si="13"/>
      </c>
    </row>
    <row r="183" spans="1:7" ht="16">
      <c r="A183" s="62">
        <f t="shared" si="10"/>
      </c>
      <c r="B183" t="s" s="30">
        <v>60</v>
      </c>
      <c r="C183" s="28">
        <f t="shared" ref="C183:C188" si="14">C65</f>
      </c>
      <c r="D183" s="28">
        <f t="shared" si="11"/>
      </c>
      <c r="E183" s="29"/>
      <c r="F183" s="63">
        <f t="shared" si="12"/>
      </c>
      <c r="G183" s="64">
        <f t="shared" si="13"/>
      </c>
    </row>
    <row r="184" spans="1:7" ht="16">
      <c r="A184" s="62">
        <f t="shared" si="10"/>
      </c>
      <c r="B184" t="s" s="30">
        <v>61</v>
      </c>
      <c r="C184" s="28">
        <f t="shared" si="14"/>
      </c>
      <c r="D184" s="28">
        <f t="shared" si="11"/>
      </c>
      <c r="E184" s="29"/>
      <c r="F184" s="63">
        <f t="shared" si="12"/>
      </c>
      <c r="G184" s="64">
        <f t="shared" si="13"/>
      </c>
    </row>
    <row r="185" spans="1:7" ht="16">
      <c r="A185" s="62">
        <f t="shared" si="10"/>
      </c>
      <c r="B185" t="s" s="30">
        <v>62</v>
      </c>
      <c r="C185" s="28">
        <f t="shared" si="14"/>
      </c>
      <c r="D185" s="28">
        <f t="shared" si="11"/>
      </c>
      <c r="E185" s="29"/>
      <c r="F185" s="63">
        <f t="shared" si="12"/>
      </c>
      <c r="G185" s="64">
        <f t="shared" si="13"/>
      </c>
    </row>
    <row r="186" spans="1:7" ht="16">
      <c r="A186" s="62">
        <f t="shared" si="10"/>
      </c>
      <c r="B186" t="s" s="30">
        <v>63</v>
      </c>
      <c r="C186" s="28">
        <f t="shared" si="14"/>
      </c>
      <c r="D186" s="28">
        <f t="shared" si="11"/>
      </c>
      <c r="E186" s="29"/>
      <c r="F186" s="63">
        <f t="shared" si="12"/>
      </c>
      <c r="G186" s="64">
        <f t="shared" si="13"/>
      </c>
    </row>
    <row r="187" spans="1:7" ht="16">
      <c r="A187" s="62">
        <f t="shared" si="10"/>
      </c>
      <c r="B187" t="s" s="30">
        <v>64</v>
      </c>
      <c r="C187" s="28">
        <f t="shared" si="14"/>
      </c>
      <c r="D187" s="28">
        <f t="shared" si="11"/>
      </c>
      <c r="E187" s="29">
        <f t="shared" ref="E187:E218" si="15">E188+6</f>
      </c>
      <c r="F187" s="63">
        <f t="shared" si="12"/>
      </c>
      <c r="G187" s="64">
        <f t="shared" si="13"/>
      </c>
    </row>
    <row r="188" spans="1:7" ht="16">
      <c r="A188" s="62">
        <f t="shared" si="10"/>
      </c>
      <c r="B188" t="s" s="30">
        <v>65</v>
      </c>
      <c r="C188" s="28">
        <f t="shared" si="14"/>
      </c>
      <c r="D188" s="28">
        <f t="shared" si="11"/>
      </c>
      <c r="E188" s="29">
        <f t="shared" si="15"/>
      </c>
      <c r="F188" s="63">
        <f t="shared" si="12"/>
      </c>
      <c r="G188" s="64">
        <f t="shared" si="13"/>
      </c>
    </row>
    <row r="189" spans="1:7" ht="16">
      <c r="A189" s="62">
        <f t="shared" si="10"/>
      </c>
      <c r="B189" t="s" s="30">
        <v>66</v>
      </c>
      <c r="C189" s="28">
        <v>1000</v>
      </c>
      <c r="D189" s="28">
        <f t="shared" si="11"/>
      </c>
      <c r="E189" s="29">
        <f t="shared" si="15"/>
      </c>
      <c r="F189" s="63">
        <f t="shared" si="12"/>
      </c>
      <c r="G189" s="64">
        <f t="shared" si="13"/>
      </c>
    </row>
    <row r="190" spans="1:7" ht="16">
      <c r="A190" s="62">
        <f t="shared" si="10"/>
      </c>
      <c r="B190" t="s" s="30">
        <v>67</v>
      </c>
      <c r="C190" s="28">
        <v>1500</v>
      </c>
      <c r="D190" s="28">
        <f t="shared" si="11"/>
      </c>
      <c r="E190" s="29">
        <f t="shared" si="15"/>
      </c>
      <c r="F190" s="63">
        <f t="shared" si="12"/>
      </c>
      <c r="G190" s="64">
        <f t="shared" si="13"/>
      </c>
    </row>
    <row r="191" spans="1:7" ht="16">
      <c r="A191" s="62">
        <f t="shared" si="10"/>
      </c>
      <c r="B191" t="s" s="30">
        <v>68</v>
      </c>
      <c r="C191" s="28">
        <f t="shared" ref="C191:C199" si="16">C189</f>
      </c>
      <c r="D191" s="28">
        <f t="shared" si="11"/>
      </c>
      <c r="E191" s="29">
        <f t="shared" si="15"/>
      </c>
      <c r="F191" s="63">
        <f t="shared" si="12"/>
      </c>
      <c r="G191" s="64">
        <f t="shared" si="13"/>
      </c>
    </row>
    <row r="192" spans="1:7" ht="16">
      <c r="A192" s="62">
        <f t="shared" si="10"/>
      </c>
      <c r="B192" t="s" s="30">
        <v>69</v>
      </c>
      <c r="C192" s="28">
        <f t="shared" si="16"/>
      </c>
      <c r="D192" s="28">
        <f t="shared" si="11"/>
      </c>
      <c r="E192" s="29">
        <f t="shared" si="15"/>
      </c>
      <c r="F192" s="63">
        <f t="shared" si="12"/>
      </c>
      <c r="G192" s="64">
        <f t="shared" si="13"/>
      </c>
    </row>
    <row r="193" spans="1:7" ht="16">
      <c r="A193" s="62">
        <f t="shared" si="10"/>
      </c>
      <c r="B193" t="s" s="30">
        <v>70</v>
      </c>
      <c r="C193" s="28">
        <f t="shared" si="16"/>
      </c>
      <c r="D193" s="28">
        <f t="shared" si="11"/>
      </c>
      <c r="E193" s="29">
        <f t="shared" si="15"/>
      </c>
      <c r="F193" s="63">
        <f t="shared" si="12"/>
      </c>
      <c r="G193" s="64">
        <f t="shared" si="13"/>
      </c>
    </row>
    <row r="194" spans="1:7" ht="16">
      <c r="A194" s="62">
        <f t="shared" si="10"/>
      </c>
      <c r="B194" t="s" s="30">
        <v>71</v>
      </c>
      <c r="C194" s="28">
        <f t="shared" si="16"/>
      </c>
      <c r="D194" s="28">
        <f t="shared" si="11"/>
      </c>
      <c r="E194" s="29">
        <f t="shared" si="15"/>
      </c>
      <c r="F194" s="63">
        <f t="shared" si="12"/>
      </c>
      <c r="G194" s="64">
        <f t="shared" si="13"/>
      </c>
    </row>
    <row r="195" spans="1:7" ht="16">
      <c r="A195" s="62">
        <f t="shared" si="10"/>
      </c>
      <c r="B195" t="s" s="30">
        <v>72</v>
      </c>
      <c r="C195" s="28">
        <f t="shared" si="16"/>
      </c>
      <c r="D195" s="28">
        <f t="shared" si="11"/>
      </c>
      <c r="E195" s="31">
        <f t="shared" si="15"/>
      </c>
      <c r="F195" s="63">
        <f t="shared" si="12"/>
      </c>
      <c r="G195" s="64">
        <f t="shared" si="13"/>
      </c>
    </row>
    <row r="196" spans="1:7" ht="16">
      <c r="A196" s="62">
        <f t="shared" si="10"/>
      </c>
      <c r="B196" t="s" s="30">
        <v>73</v>
      </c>
      <c r="C196" s="28">
        <f t="shared" si="16"/>
      </c>
      <c r="D196" s="28">
        <f t="shared" si="11"/>
      </c>
      <c r="E196" s="29">
        <f t="shared" si="15"/>
      </c>
      <c r="F196" s="63">
        <f t="shared" si="12"/>
      </c>
      <c r="G196" s="64">
        <f t="shared" si="13"/>
      </c>
    </row>
    <row r="197" spans="1:7" ht="16">
      <c r="A197" s="62">
        <f t="shared" si="10"/>
      </c>
      <c r="B197" t="s" s="30">
        <v>74</v>
      </c>
      <c r="C197" s="28">
        <f t="shared" si="16"/>
      </c>
      <c r="D197" s="28">
        <f t="shared" si="11"/>
      </c>
      <c r="E197" s="31">
        <f t="shared" si="15"/>
      </c>
      <c r="F197" s="63">
        <f t="shared" si="12"/>
      </c>
      <c r="G197" s="64">
        <f t="shared" si="13"/>
      </c>
    </row>
    <row r="198" spans="1:7" ht="16">
      <c r="A198" s="62">
        <f t="shared" si="10"/>
      </c>
      <c r="B198" t="s" s="30">
        <v>75</v>
      </c>
      <c r="C198" s="28">
        <f t="shared" si="16"/>
      </c>
      <c r="D198" s="28">
        <f t="shared" si="11"/>
      </c>
      <c r="E198" s="31">
        <f t="shared" si="15"/>
      </c>
      <c r="F198" s="63">
        <f t="shared" si="12"/>
      </c>
      <c r="G198" s="64">
        <f t="shared" si="13"/>
      </c>
    </row>
    <row r="199" spans="1:7" ht="16">
      <c r="A199" s="62">
        <f t="shared" si="10"/>
      </c>
      <c r="B199" t="s" s="30">
        <v>76</v>
      </c>
      <c r="C199" s="28">
        <f t="shared" si="16"/>
      </c>
      <c r="D199" s="28">
        <f t="shared" si="11"/>
      </c>
      <c r="E199" s="31">
        <f t="shared" si="15"/>
      </c>
      <c r="F199" s="63">
        <f t="shared" si="12"/>
      </c>
      <c r="G199" s="64">
        <f t="shared" si="13"/>
      </c>
    </row>
    <row r="200" spans="1:7" ht="16">
      <c r="A200" s="65">
        <f t="shared" si="10"/>
      </c>
      <c r="B200" t="s" s="30">
        <v>77</v>
      </c>
      <c r="C200" s="28">
        <f>11*150</f>
      </c>
      <c r="D200" s="28">
        <f t="shared" si="11"/>
      </c>
      <c r="E200" s="31">
        <f t="shared" si="15"/>
      </c>
      <c r="F200" s="63">
        <f t="shared" si="12"/>
      </c>
      <c r="G200" s="64">
        <f t="shared" si="13"/>
      </c>
    </row>
    <row r="201" spans="1:7" ht="16">
      <c r="A201" s="66">
        <f t="shared" ref="A201:A219" si="17">A83</f>
      </c>
      <c r="B201" t="s" s="27">
        <v>78</v>
      </c>
      <c r="C201" s="28">
        <f>11*100</f>
      </c>
      <c r="D201" s="28">
        <f t="shared" ref="D201:D219" si="18">A201*C201</f>
      </c>
      <c r="E201" s="31">
        <f t="shared" si="15"/>
      </c>
      <c r="F201" s="63">
        <f t="shared" ref="F201:F219" si="19">D201*E201/100</f>
      </c>
      <c r="G201" s="64">
        <f t="shared" ref="G201:G219" si="20">D201+F201</f>
      </c>
    </row>
    <row r="202" spans="1:7" ht="16">
      <c r="A202" s="66">
        <f t="shared" si="17"/>
      </c>
      <c r="B202" t="s" s="67">
        <v>79</v>
      </c>
      <c r="C202" s="28">
        <f>C200</f>
      </c>
      <c r="D202" s="28">
        <f t="shared" si="18"/>
      </c>
      <c r="E202" s="31">
        <f t="shared" si="15"/>
      </c>
      <c r="F202" s="63">
        <f t="shared" si="19"/>
      </c>
      <c r="G202" s="64">
        <f t="shared" si="20"/>
      </c>
    </row>
    <row r="203" spans="1:7" ht="16">
      <c r="A203" s="68">
        <f t="shared" si="17"/>
      </c>
      <c r="B203" t="s" s="36">
        <v>80</v>
      </c>
      <c r="C203" s="69">
        <f>C201</f>
      </c>
      <c r="D203" s="28">
        <f t="shared" si="18"/>
      </c>
      <c r="E203" s="31">
        <f t="shared" si="15"/>
      </c>
      <c r="F203" s="63">
        <f t="shared" si="19"/>
      </c>
      <c r="G203" s="64">
        <f t="shared" si="20"/>
      </c>
    </row>
    <row r="204" spans="1:7" ht="16">
      <c r="A204" s="66">
        <f t="shared" si="17"/>
      </c>
      <c r="B204" t="s" s="34">
        <v>81</v>
      </c>
      <c r="C204" s="35">
        <f>C86</f>
      </c>
      <c r="D204" s="28">
        <f t="shared" si="18"/>
      </c>
      <c r="E204" s="31">
        <f t="shared" si="15"/>
      </c>
      <c r="F204" s="63">
        <f t="shared" si="19"/>
      </c>
      <c r="G204" s="64">
        <f t="shared" si="20"/>
      </c>
    </row>
    <row r="205" spans="1:7" ht="16">
      <c r="A205" s="66">
        <f t="shared" si="17"/>
      </c>
      <c r="B205" t="s" s="34">
        <v>82</v>
      </c>
      <c r="C205" s="35">
        <f>15*100</f>
      </c>
      <c r="D205" s="28">
        <f t="shared" si="18"/>
      </c>
      <c r="E205" s="31">
        <f t="shared" si="15"/>
      </c>
      <c r="F205" s="63">
        <f t="shared" si="19"/>
      </c>
      <c r="G205" s="64">
        <f t="shared" si="20"/>
      </c>
    </row>
    <row r="206" spans="1:7" ht="16">
      <c r="A206" s="66">
        <f t="shared" si="17"/>
      </c>
      <c r="B206" t="s" s="34">
        <v>83</v>
      </c>
      <c r="C206" s="35">
        <f>C204</f>
      </c>
      <c r="D206" s="28">
        <f t="shared" si="18"/>
      </c>
      <c r="E206" s="31">
        <f t="shared" si="15"/>
      </c>
      <c r="F206" s="63">
        <f t="shared" si="19"/>
      </c>
      <c r="G206" s="64">
        <f t="shared" si="20"/>
      </c>
    </row>
    <row r="207" spans="1:7" ht="16">
      <c r="A207" s="66">
        <f t="shared" si="17"/>
      </c>
      <c r="B207" t="s" s="34">
        <v>84</v>
      </c>
      <c r="C207" s="35">
        <f>C205</f>
      </c>
      <c r="D207" s="28">
        <f t="shared" si="18"/>
      </c>
      <c r="E207" s="31">
        <f t="shared" si="15"/>
      </c>
      <c r="F207" s="63">
        <f t="shared" si="19"/>
      </c>
      <c r="G207" s="64">
        <f t="shared" si="20"/>
      </c>
    </row>
    <row r="208" spans="1:7" ht="16">
      <c r="A208" s="66">
        <f t="shared" si="17"/>
      </c>
      <c r="B208" t="s" s="34">
        <v>85</v>
      </c>
      <c r="C208" s="35">
        <f>C206</f>
      </c>
      <c r="D208" s="28">
        <f t="shared" si="18"/>
      </c>
      <c r="E208" s="31">
        <f t="shared" si="15"/>
      </c>
      <c r="F208" s="63">
        <f t="shared" si="19"/>
      </c>
      <c r="G208" s="64">
        <f t="shared" si="20"/>
      </c>
    </row>
    <row r="209" spans="1:7" ht="16">
      <c r="A209" s="70">
        <f t="shared" si="17"/>
      </c>
      <c r="B209" t="s" s="34">
        <v>86</v>
      </c>
      <c r="C209" s="71">
        <v>1500</v>
      </c>
      <c r="D209" s="28">
        <f t="shared" si="18"/>
      </c>
      <c r="E209" s="31">
        <f t="shared" si="15"/>
      </c>
      <c r="F209" s="63">
        <f t="shared" si="19"/>
      </c>
      <c r="G209" s="64">
        <f t="shared" si="20"/>
      </c>
    </row>
    <row r="210" spans="1:7" ht="16">
      <c r="A210" s="70">
        <f t="shared" si="17"/>
      </c>
      <c r="B210" t="s" s="34">
        <v>87</v>
      </c>
      <c r="C210" s="71">
        <v>2550</v>
      </c>
      <c r="D210" s="28">
        <f t="shared" si="18"/>
      </c>
      <c r="E210" s="31">
        <f t="shared" si="15"/>
      </c>
      <c r="F210" s="63">
        <f t="shared" si="19"/>
      </c>
      <c r="G210" s="64">
        <f t="shared" si="20"/>
      </c>
    </row>
    <row r="211" spans="1:7" ht="16">
      <c r="A211" s="70">
        <f t="shared" si="17"/>
      </c>
      <c r="B211" t="s" s="34">
        <v>88</v>
      </c>
      <c r="C211" s="71">
        <v>1700</v>
      </c>
      <c r="D211" s="28">
        <f t="shared" si="18"/>
      </c>
      <c r="E211" s="31">
        <f t="shared" si="15"/>
      </c>
      <c r="F211" s="63">
        <f t="shared" si="19"/>
      </c>
      <c r="G211" s="64">
        <f t="shared" si="20"/>
      </c>
    </row>
    <row r="212" spans="1:7" ht="16">
      <c r="A212" s="70">
        <f t="shared" si="17"/>
      </c>
      <c r="B212" t="s" s="34">
        <v>89</v>
      </c>
      <c r="C212" s="71">
        <f>17*150</f>
      </c>
      <c r="D212" s="28">
        <f t="shared" si="18"/>
      </c>
      <c r="E212" s="31">
        <f t="shared" si="15"/>
      </c>
      <c r="F212" s="63">
        <f t="shared" si="19"/>
      </c>
      <c r="G212" s="64">
        <f t="shared" si="20"/>
      </c>
    </row>
    <row r="213" spans="1:7" ht="16">
      <c r="A213" s="70">
        <f t="shared" si="17"/>
      </c>
      <c r="B213" t="s" s="34">
        <v>90</v>
      </c>
      <c r="C213" s="71">
        <f>17*100</f>
      </c>
      <c r="D213" s="28">
        <f t="shared" si="18"/>
      </c>
      <c r="E213" s="31">
        <f t="shared" si="15"/>
      </c>
      <c r="F213" s="63">
        <f t="shared" si="19"/>
      </c>
      <c r="G213" s="64">
        <f t="shared" si="20"/>
      </c>
    </row>
    <row r="214" spans="1:7" ht="16">
      <c r="A214" s="70">
        <f t="shared" si="17"/>
      </c>
      <c r="B214" t="s" s="34">
        <v>91</v>
      </c>
      <c r="C214" s="71">
        <f>C212</f>
      </c>
      <c r="D214" s="28">
        <f t="shared" si="18"/>
      </c>
      <c r="E214" s="31">
        <f t="shared" si="15"/>
      </c>
      <c r="F214" s="63">
        <f t="shared" si="19"/>
      </c>
      <c r="G214" s="64">
        <f t="shared" si="20"/>
      </c>
    </row>
    <row r="215" spans="1:7" ht="16">
      <c r="A215" s="70">
        <f t="shared" si="17"/>
      </c>
      <c r="B215" t="s" s="34">
        <v>92</v>
      </c>
      <c r="C215" s="71">
        <f>17*100</f>
      </c>
      <c r="D215" s="28">
        <f t="shared" si="18"/>
      </c>
      <c r="E215" s="31">
        <f t="shared" si="15"/>
      </c>
      <c r="F215" s="63">
        <f t="shared" si="19"/>
      </c>
      <c r="G215" s="64">
        <f t="shared" si="20"/>
      </c>
    </row>
    <row r="216" spans="1:7" ht="16">
      <c r="A216" s="70">
        <f t="shared" si="17"/>
      </c>
      <c r="B216" t="s" s="34">
        <v>93</v>
      </c>
      <c r="C216" s="35">
        <f>C214</f>
      </c>
      <c r="D216" s="28">
        <f t="shared" si="18"/>
      </c>
      <c r="E216" s="31">
        <f t="shared" si="15"/>
      </c>
      <c r="F216" s="63">
        <f t="shared" si="19"/>
      </c>
      <c r="G216" s="64">
        <f t="shared" si="20"/>
      </c>
    </row>
    <row r="217" spans="1:7" ht="16">
      <c r="A217" s="70">
        <f t="shared" si="17"/>
      </c>
      <c r="B217" t="s" s="34">
        <v>94</v>
      </c>
      <c r="C217" s="71">
        <f>17*100</f>
      </c>
      <c r="D217" s="28">
        <f t="shared" si="18"/>
      </c>
      <c r="E217" s="31">
        <f t="shared" si="15"/>
      </c>
      <c r="F217" s="63">
        <f t="shared" si="19"/>
      </c>
      <c r="G217" s="64">
        <f t="shared" si="20"/>
      </c>
    </row>
    <row r="218" spans="1:7" ht="16">
      <c r="A218" s="70">
        <f t="shared" si="17"/>
      </c>
      <c r="B218" t="s" s="34">
        <v>95</v>
      </c>
      <c r="C218" s="35">
        <f>C216</f>
      </c>
      <c r="D218" s="28">
        <f t="shared" si="18"/>
      </c>
      <c r="E218" s="31">
        <f t="shared" si="15"/>
      </c>
      <c r="F218" s="63">
        <f t="shared" si="19"/>
      </c>
      <c r="G218" s="64">
        <f t="shared" si="20"/>
      </c>
    </row>
    <row r="219" spans="1:7" ht="16">
      <c r="A219" s="70">
        <f t="shared" si="17"/>
      </c>
      <c r="B219" t="s" s="34">
        <v>96</v>
      </c>
      <c r="C219" s="71">
        <f>17*100</f>
      </c>
      <c r="D219" s="28">
        <f t="shared" si="18"/>
      </c>
      <c r="E219" s="31">
        <v>10</v>
      </c>
      <c r="F219" s="63">
        <f t="shared" si="19"/>
      </c>
      <c r="G219" s="40">
        <f t="shared" si="20"/>
      </c>
    </row>
    <row r="220" spans="1:7" ht="16">
      <c r="A220" t="s" s="229">
        <v>97</v>
      </c>
      <c r="B220" s="229"/>
      <c r="C220" s="229"/>
      <c r="D220" s="72">
        <f>SUM(D137:D219)</f>
      </c>
      <c r="E220" s="73"/>
      <c r="F220" s="72">
        <f>SUM(F137:F219)</f>
      </c>
      <c r="G220" s="72">
        <f>SUM(G137:G219)</f>
      </c>
    </row>
    <row r="221" spans="1:7">
      <c r="A221" t="s" s="74">
        <v>98</v>
      </c>
      <c r="B221" s="75"/>
      <c r="C221" s="75"/>
      <c r="D221" s="230"/>
      <c r="E221" s="230"/>
      <c r="F221" s="231"/>
      <c r="G221" s="40">
        <f>G103</f>
      </c>
    </row>
    <row r="222" spans="1:7" ht="23">
      <c r="A222" t="s" s="232">
        <v>99</v>
      </c>
      <c r="B222" s="232"/>
      <c r="C222" s="232"/>
      <c r="D222" s="232"/>
      <c r="E222" s="232"/>
      <c r="F222" s="233"/>
      <c r="G222" s="76">
        <f>G220+G221</f>
      </c>
    </row>
    <row r="223" spans="1:7">
      <c r="A223" t="s" s="46">
        <v>100</v>
      </c>
      <c r="B223" s="4"/>
      <c r="C223" s="4"/>
      <c r="D223" s="47"/>
      <c r="E223" s="48"/>
      <c r="F223" s="49"/>
      <c r="G223" s="50"/>
    </row>
    <row r="224" spans="1:7">
      <c r="A224" s="4"/>
      <c r="B224" s="4"/>
      <c r="C224" s="4"/>
      <c r="D224" s="47"/>
      <c r="E224" s="48"/>
      <c r="F224" s="49"/>
      <c r="G224" s="50"/>
    </row>
    <row r="225" spans="1:7">
      <c r="A225" t="s" s="4">
        <v>101</v>
      </c>
      <c r="B225" s="4"/>
      <c r="C225" t="s" s="4">
        <v>102</v>
      </c>
      <c r="D225" t="s" s="4">
        <v>103</v>
      </c>
      <c r="E225" s="4"/>
      <c r="F225" s="4"/>
      <c r="G225" t="s" s="4">
        <v>104</v>
      </c>
    </row>
    <row r="226" spans="1:7">
      <c r="A226" s="4"/>
      <c r="B226" s="4"/>
      <c r="C226" s="4"/>
      <c r="D226" s="4"/>
      <c r="E226" s="4"/>
      <c r="F226" s="4"/>
      <c r="G226" s="7"/>
    </row>
    <row r="227" spans="1:7">
      <c r="A227" s="77"/>
      <c r="B227" s="77"/>
      <c r="C227" t="s" s="58">
        <v>291</v>
      </c>
      <c r="D227" s="51"/>
      <c r="E227" t="s" s="218">
        <v>122</v>
      </c>
      <c r="F227" s="218"/>
      <c r="G227" t="s" s="51">
        <v>123</v>
      </c>
    </row>
    <row r="228" spans="1:7">
      <c r="A228" t="s" s="234">
        <v>124</v>
      </c>
      <c r="B228" s="234"/>
      <c r="C228" t="s" s="4">
        <v>125</v>
      </c>
      <c r="D228" s="4"/>
      <c r="E228" t="s" s="208">
        <v>126</v>
      </c>
      <c r="F228" s="208"/>
      <c r="G228" t="s" s="7">
        <v>112</v>
      </c>
    </row>
  </sheetData>
  <mergeCells count="38">
    <mergeCell ref="A11:G11"/>
    <mergeCell ref="A1:G1"/>
    <mergeCell ref="A2:G2"/>
    <mergeCell ref="A3:G3"/>
    <mergeCell ref="A4:G4"/>
    <mergeCell ref="A5:G5"/>
    <mergeCell ref="A110:B110"/>
    <mergeCell ref="C110:D110"/>
    <mergeCell ref="E110:F110"/>
    <mergeCell ref="A12:G12"/>
    <mergeCell ref="A13:B13"/>
    <mergeCell ref="A14:B14"/>
    <mergeCell ref="F16:G16"/>
    <mergeCell ref="F17:G17"/>
    <mergeCell ref="A102:C102"/>
    <mergeCell ref="D103:F103"/>
    <mergeCell ref="A104:F104"/>
    <mergeCell ref="A109:B109"/>
    <mergeCell ref="C109:D109"/>
    <mergeCell ref="E109:F109"/>
    <mergeCell ref="F135:G135"/>
    <mergeCell ref="A119:G119"/>
    <mergeCell ref="A120:G120"/>
    <mergeCell ref="A121:G121"/>
    <mergeCell ref="A122:G122"/>
    <mergeCell ref="A123:G123"/>
    <mergeCell ref="A129:G129"/>
    <mergeCell ref="A130:G130"/>
    <mergeCell ref="A131:B131"/>
    <mergeCell ref="A132:B132"/>
    <mergeCell ref="C134:D134"/>
    <mergeCell ref="F134:G134"/>
    <mergeCell ref="A220:C220"/>
    <mergeCell ref="D221:F221"/>
    <mergeCell ref="A222:F222"/>
    <mergeCell ref="E227:F227"/>
    <mergeCell ref="A228:B228"/>
    <mergeCell ref="E228:F228"/>
  </mergeCells>
  <pageMargins left="0.7" right="0.7" top="0.75" bottom="0.75" header="0.3" footer="0.3"/>
  <pageSetup paperSize="9" scale="41" orientation="portrait" r:id="rId1"/>
  <rowBreaks count="1" manualBreakCount="1">
    <brk id="118"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D80E-EF40-4F1A-9A40-1B1291B59AAE}">
  <sheetPr>
    <pageSetUpPr fitToPage="1"/>
  </sheetPr>
  <sheetViews>
    <sheetView view="pageBreakPreview" topLeftCell="D8" zoomScale="125" zoomScaleNormal="85" zoomScaleSheetLayoutView="85" workbookViewId="0">
      <selection activeCell="N30" sqref="N30"/>
    </sheetView>
  </sheetViews>
  <sheetFormatPr baseColWidth="10" defaultColWidth="8.83203125" defaultRowHeight="15"/>
  <cols>
    <col min="1" max="1" width="4.1640625" customWidth="1"/>
    <col min="2" max="2" width="7.1640625" customWidth="1"/>
    <col min="3" max="3" width="7.5" customWidth="1"/>
    <col min="4" max="4" width="15.1640625" customWidth="1"/>
    <col min="5" max="5" width="13.1640625" customWidth="1"/>
    <col min="6" max="6" width="10.83203125" customWidth="1"/>
    <col min="7" max="7" width="13.1640625" bestFit="1" customWidth="1"/>
    <col min="8" max="8" width="12.33203125" customWidth="1"/>
    <col min="9" max="9" width="13.5" customWidth="1"/>
    <col min="10" max="10" width="8.5" customWidth="1"/>
    <col min="11" max="11" width="14.6640625" customWidth="1"/>
    <col min="12" max="12" width="12.83203125" customWidth="1"/>
    <col min="13" max="13" width="11.33203125" customWidth="1"/>
    <col min="14" max="14" width="11.5" customWidth="1"/>
    <col min="15" max="15" width="13.5" customWidth="1"/>
    <col min="16" max="16" width="8.1640625" customWidth="1"/>
    <col min="17" max="17" width="14.1640625" customWidth="1"/>
    <col min="18" max="18" width="12.6640625" customWidth="1"/>
    <col min="19" max="19" width="11.33203125" customWidth="1"/>
    <col min="20" max="20" width="4.5" customWidth="1"/>
    <col min="21" max="21" width="7.5" customWidth="1"/>
    <col min="22" max="22" width="6.83203125" customWidth="1"/>
    <col min="23" max="23" width="2.5" customWidth="1"/>
    <col min="24" max="24" width="1.5" customWidth="1"/>
  </cols>
  <sheetData>
    <row r="1" spans="1:24">
      <c r="V1" t="s" s="78">
        <v>127</v>
      </c>
    </row>
    <row r="2" spans="1:24">
      <c r="A2" t="s" s="204">
        <v>262</v>
      </c>
      <c r="B2" s="204"/>
      <c r="C2" s="204"/>
      <c r="D2" s="204"/>
      <c r="E2" s="204"/>
      <c r="F2" s="204"/>
      <c r="G2" s="204"/>
      <c r="H2" s="204"/>
      <c r="I2" s="204"/>
      <c r="J2" s="204"/>
      <c r="K2" s="204"/>
      <c r="L2" s="204"/>
      <c r="M2" s="204"/>
      <c r="N2" s="204"/>
      <c r="O2" s="204"/>
      <c r="P2" s="204"/>
      <c r="Q2" s="204"/>
      <c r="R2" s="204"/>
      <c r="S2" s="204"/>
      <c r="T2" s="204"/>
      <c r="U2" s="204"/>
      <c r="V2" s="204"/>
      <c r="W2" s="204"/>
      <c r="X2" s="204"/>
    </row>
    <row r="3" spans="1:24" ht="17">
      <c r="A3" t="s" s="205">
        <v>263</v>
      </c>
      <c r="B3" s="205"/>
      <c r="C3" s="205"/>
      <c r="D3" s="205"/>
      <c r="E3" s="205"/>
      <c r="F3" s="205"/>
      <c r="G3" s="205"/>
      <c r="H3" s="205"/>
      <c r="I3" s="205"/>
      <c r="J3" s="205"/>
      <c r="K3" s="205"/>
      <c r="L3" s="205"/>
      <c r="M3" s="205"/>
      <c r="N3" s="205"/>
      <c r="O3" s="205"/>
      <c r="P3" s="205"/>
      <c r="Q3" s="205"/>
      <c r="R3" s="205"/>
      <c r="S3" s="205"/>
      <c r="T3" s="205"/>
      <c r="U3" s="205"/>
      <c r="V3" s="205"/>
      <c r="W3" s="205"/>
      <c r="X3" s="205"/>
    </row>
    <row r="4" spans="1:24">
      <c r="A4" t="s" s="203">
        <v>264</v>
      </c>
      <c r="B4" s="203"/>
      <c r="C4" s="203"/>
      <c r="D4" s="203"/>
      <c r="E4" s="203"/>
      <c r="F4" s="203"/>
      <c r="G4" s="203"/>
      <c r="H4" s="203"/>
      <c r="I4" s="203"/>
      <c r="J4" s="203"/>
      <c r="K4" s="203"/>
      <c r="L4" s="203"/>
      <c r="M4" s="203"/>
      <c r="N4" s="203"/>
      <c r="O4" s="203"/>
      <c r="P4" s="203"/>
      <c r="Q4" s="203"/>
      <c r="R4" s="203"/>
      <c r="S4" s="203"/>
      <c r="T4" s="203"/>
      <c r="U4" s="203"/>
      <c r="V4" s="203"/>
      <c r="W4" s="203"/>
      <c r="X4" s="203"/>
    </row>
    <row r="5" spans="1:24">
      <c r="A5" t="s" s="203">
        <v>265</v>
      </c>
      <c r="B5" s="203"/>
      <c r="C5" s="203"/>
      <c r="D5" s="203"/>
      <c r="E5" s="203"/>
      <c r="F5" s="203"/>
      <c r="G5" s="203"/>
      <c r="H5" s="203"/>
      <c r="I5" s="203"/>
      <c r="J5" s="203"/>
      <c r="K5" s="203"/>
      <c r="L5" s="203"/>
      <c r="M5" s="203"/>
      <c r="N5" s="203"/>
      <c r="O5" s="203"/>
      <c r="P5" s="203"/>
      <c r="Q5" s="203"/>
      <c r="R5" s="203"/>
      <c r="S5" s="203"/>
      <c r="T5" s="203"/>
      <c r="U5" s="203"/>
      <c r="V5" s="203"/>
      <c r="W5" s="203"/>
      <c r="X5" s="203"/>
    </row>
    <row r="6" spans="1:24">
      <c r="B6" s="264"/>
      <c r="C6" s="264"/>
      <c r="D6" s="264"/>
      <c r="E6" s="264"/>
      <c r="F6" s="264"/>
      <c r="G6" s="264"/>
      <c r="H6" s="264"/>
      <c r="I6" s="264"/>
      <c r="J6" s="264"/>
      <c r="K6" s="264"/>
      <c r="L6" s="264"/>
      <c r="M6" s="264"/>
      <c r="N6" s="264"/>
      <c r="O6" s="264"/>
      <c r="P6" s="264"/>
      <c r="Q6" s="264"/>
      <c r="R6" s="264"/>
    </row>
    <row r="7" spans="1:24">
      <c r="B7" s="79"/>
      <c r="C7" s="79"/>
      <c r="D7" s="79"/>
      <c r="E7" s="79"/>
      <c r="F7" s="79"/>
      <c r="G7" s="79"/>
      <c r="H7" s="79"/>
      <c r="I7" s="79"/>
      <c r="J7" s="79"/>
      <c r="K7" s="79"/>
      <c r="L7" s="79"/>
      <c r="M7" s="79"/>
      <c r="N7" s="79"/>
      <c r="O7" s="79"/>
      <c r="P7" s="79"/>
      <c r="Q7" s="131"/>
      <c r="R7" s="79"/>
    </row>
    <row r="8" spans="1:24">
      <c r="B8" s="79"/>
      <c r="C8" s="79"/>
      <c r="D8" s="79"/>
      <c r="E8" s="79"/>
      <c r="F8" s="79"/>
      <c r="G8" s="79"/>
      <c r="H8" s="79"/>
      <c r="I8" s="79"/>
      <c r="J8" s="79"/>
      <c r="K8" s="79"/>
      <c r="L8" s="79"/>
      <c r="M8" s="79"/>
      <c r="N8" s="79"/>
      <c r="O8" s="79"/>
      <c r="P8" s="79"/>
      <c r="Q8" s="79"/>
      <c r="R8" s="79"/>
    </row>
    <row r="9" spans="1:24">
      <c r="B9" s="79"/>
      <c r="C9" s="79"/>
      <c r="D9" s="79"/>
      <c r="E9" s="79"/>
      <c r="F9" s="79"/>
      <c r="G9" s="79"/>
      <c r="H9" s="79"/>
      <c r="I9" s="79"/>
      <c r="J9" s="79"/>
      <c r="K9" s="79"/>
      <c r="L9" s="79"/>
      <c r="M9" s="79"/>
      <c r="N9" s="79"/>
      <c r="O9" s="79"/>
      <c r="P9" s="79"/>
      <c r="Q9" s="79"/>
      <c r="R9" s="79"/>
    </row>
    <row r="10" spans="1:24" ht="18">
      <c r="A10" t="s" s="265">
        <v>128</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row>
    <row r="11" spans="1:24" s="80" customFormat="1" ht="16">
      <c r="A11" s="266">
        <f ca="1">"(1) As of "&amp;TEXT(TODAY(),"mmmm dd, yyyy")</f>
      </c>
      <c r="B11" s="266"/>
      <c r="C11" s="266"/>
      <c r="D11" s="266"/>
      <c r="E11" s="266"/>
      <c r="F11" s="266"/>
      <c r="G11" s="266"/>
      <c r="H11" s="266"/>
      <c r="I11" s="266"/>
      <c r="J11" s="266"/>
      <c r="K11" s="266"/>
      <c r="L11" s="266"/>
      <c r="M11" s="266"/>
      <c r="N11" s="266"/>
      <c r="O11" s="266"/>
      <c r="P11" s="266"/>
      <c r="Q11" s="266"/>
      <c r="R11" s="266"/>
      <c r="S11" s="266"/>
      <c r="T11" s="266"/>
      <c r="U11" s="266"/>
      <c r="V11" s="266"/>
      <c r="W11" s="266"/>
      <c r="X11" s="266"/>
    </row>
    <row r="12" spans="1:24" ht="16">
      <c r="A12" s="81"/>
      <c r="B12" s="81"/>
      <c r="C12" s="81"/>
      <c r="D12" s="81"/>
      <c r="E12" s="81"/>
      <c r="F12" s="81"/>
      <c r="G12" s="81"/>
      <c r="H12" s="81"/>
      <c r="I12" s="81"/>
      <c r="J12" s="81"/>
      <c r="K12" s="81"/>
      <c r="L12" s="81"/>
      <c r="M12" s="81"/>
      <c r="N12" s="81"/>
      <c r="O12" s="81"/>
      <c r="P12" s="81"/>
      <c r="Q12" s="81"/>
      <c r="R12" s="81"/>
      <c r="S12" s="81"/>
      <c r="T12" s="81"/>
      <c r="U12" s="81"/>
      <c r="V12" s="81"/>
      <c r="W12" s="81"/>
      <c r="X12" s="81"/>
    </row>
    <row r="13" spans="1:24" ht="18" customHeight="1">
      <c r="A13" t="s" s="82">
        <v>129</v>
      </c>
      <c r="B13" t="s" s="83">
        <v>292</v>
      </c>
      <c r="C13" s="83"/>
      <c r="D13" s="83"/>
      <c r="E13" s="83"/>
      <c r="F13" s="83"/>
      <c r="G13" s="83"/>
      <c r="H13" s="83"/>
      <c r="I13" s="83"/>
      <c r="J13" s="83"/>
      <c r="K13" s="84"/>
      <c r="L13" s="84"/>
      <c r="M13" s="85">
        <f>"(5) Name of IA : "&amp;'00 ACC DETAILS 01'!C5</f>
      </c>
      <c r="N13" s="86"/>
      <c r="O13" s="86"/>
      <c r="P13" s="86"/>
      <c r="Q13" s="86"/>
      <c r="R13" s="86"/>
      <c r="S13" s="86"/>
      <c r="T13" s="86"/>
      <c r="U13" s="86"/>
      <c r="V13" s="86"/>
      <c r="W13" s="86"/>
      <c r="X13" s="86"/>
    </row>
    <row r="14" spans="1:24" ht="18" customHeight="1">
      <c r="A14" t="s" s="82">
        <v>293</v>
      </c>
      <c r="B14" t="s" s="83">
        <v>294</v>
      </c>
      <c r="C14" s="83"/>
      <c r="D14" s="83"/>
      <c r="E14" s="83"/>
      <c r="F14" s="83"/>
      <c r="G14" s="83"/>
      <c r="H14" s="83"/>
      <c r="I14" s="83"/>
      <c r="J14" s="83"/>
      <c r="K14" s="84"/>
      <c r="L14" s="84"/>
      <c r="M14" t="s" s="85">
        <v>130</v>
      </c>
      <c r="N14" s="86"/>
      <c r="O14" s="86"/>
      <c r="P14" s="86"/>
      <c r="Q14" s="86"/>
      <c r="R14" s="86"/>
      <c r="S14" s="86"/>
      <c r="T14" s="86"/>
      <c r="U14" s="86"/>
      <c r="V14" s="86"/>
      <c r="W14" s="86"/>
      <c r="X14" s="86"/>
    </row>
    <row r="15" spans="1:24" ht="16">
      <c r="A15" t="s" s="82">
        <v>131</v>
      </c>
      <c r="B15" t="s" s="83">
        <v>295</v>
      </c>
      <c r="C15" s="83"/>
      <c r="D15" s="83"/>
      <c r="E15" s="83"/>
      <c r="F15" s="83"/>
      <c r="G15" s="83"/>
      <c r="H15" s="83"/>
      <c r="I15" s="83"/>
      <c r="J15" s="83"/>
      <c r="K15" s="84"/>
      <c r="L15" s="84"/>
      <c r="M15" s="85">
        <f>"(7) Supply Canal:                                     (8) Station :  "&amp;'00 ACC DETAILS 01'!C4</f>
      </c>
      <c r="N15" s="86"/>
      <c r="O15" s="86"/>
      <c r="P15" s="86"/>
      <c r="Q15" s="86"/>
      <c r="R15" s="86"/>
      <c r="S15" s="86"/>
      <c r="T15" s="86"/>
      <c r="U15" s="86"/>
      <c r="V15" s="86"/>
      <c r="W15" s="86"/>
      <c r="X15" s="86"/>
    </row>
    <row r="16" spans="1:24" ht="16">
      <c r="A16" s="87"/>
      <c r="B16" s="84"/>
      <c r="C16" s="84"/>
      <c r="D16" s="84"/>
      <c r="E16" s="84"/>
      <c r="F16" s="84"/>
      <c r="G16" s="84"/>
      <c r="H16" s="84"/>
      <c r="I16" s="84"/>
      <c r="J16" s="84"/>
      <c r="K16" s="84"/>
      <c r="L16" s="84"/>
      <c r="M16" s="88"/>
      <c r="N16" s="88"/>
      <c r="O16" s="88"/>
      <c r="P16" s="88"/>
      <c r="Q16" s="88"/>
      <c r="R16" s="88"/>
      <c r="S16" s="88"/>
      <c r="T16" s="88"/>
      <c r="U16" s="88"/>
      <c r="V16" s="88"/>
      <c r="W16" s="88"/>
      <c r="X16" s="88"/>
    </row>
    <row r="17" spans="1:25" ht="47.25" customHeight="1">
      <c r="A17" t="s" s="235">
        <v>132</v>
      </c>
      <c r="B17" s="237"/>
      <c r="C17" t="s" s="235">
        <v>133</v>
      </c>
      <c r="D17" t="s" s="235">
        <v>134</v>
      </c>
      <c r="E17" s="249"/>
      <c r="F17" s="237"/>
      <c r="G17" t="s" s="235">
        <v>135</v>
      </c>
      <c r="H17" t="s" s="235">
        <v>136</v>
      </c>
      <c r="I17" s="236"/>
      <c r="J17" s="237"/>
      <c r="K17" t="s" s="235">
        <v>137</v>
      </c>
      <c r="L17" s="249"/>
      <c r="M17" s="241"/>
      <c r="N17" t="s" s="235">
        <v>138</v>
      </c>
      <c r="O17" s="236"/>
      <c r="P17" s="237"/>
      <c r="Q17" t="s" s="235">
        <v>139</v>
      </c>
      <c r="R17" s="236"/>
      <c r="S17" s="237"/>
      <c r="T17" t="s" s="235">
        <v>140</v>
      </c>
      <c r="U17" s="241"/>
      <c r="V17" t="s" s="242">
        <v>141</v>
      </c>
      <c r="W17" s="242"/>
      <c r="X17" s="242"/>
      <c r="Y17" s="89"/>
    </row>
    <row r="18" spans="1:25" ht="18" hidden="1" customHeight="1">
      <c r="A18" s="238"/>
      <c r="B18" s="240"/>
      <c r="C18" s="238"/>
      <c r="D18" s="250"/>
      <c r="E18" s="251"/>
      <c r="F18" s="252"/>
      <c r="G18" s="238"/>
      <c r="H18" s="238"/>
      <c r="I18" s="239"/>
      <c r="J18" s="240"/>
      <c r="K18" s="253"/>
      <c r="L18" s="254"/>
      <c r="M18" s="255"/>
      <c r="N18" s="238"/>
      <c r="O18" s="239"/>
      <c r="P18" s="240"/>
      <c r="Q18" s="238"/>
      <c r="R18" s="239"/>
      <c r="S18" s="240"/>
      <c r="T18" s="90"/>
      <c r="U18" s="90"/>
      <c r="V18" s="242"/>
      <c r="W18" s="242"/>
      <c r="X18" s="242"/>
    </row>
    <row r="19" spans="1:25" ht="63.75" customHeight="1">
      <c r="A19" s="247"/>
      <c r="B19" s="248"/>
      <c r="C19" t="s" s="247">
        <v>142</v>
      </c>
      <c r="D19" t="s" s="91">
        <v>143</v>
      </c>
      <c r="E19" t="s" s="91">
        <v>144</v>
      </c>
      <c r="F19" t="s" s="91">
        <v>145</v>
      </c>
      <c r="G19" t="s" s="247">
        <v>146</v>
      </c>
      <c r="H19" t="s" s="92">
        <v>147</v>
      </c>
      <c r="I19" t="s" s="92">
        <v>148</v>
      </c>
      <c r="J19" t="s" s="92">
        <v>149</v>
      </c>
      <c r="K19" t="s" s="92">
        <v>143</v>
      </c>
      <c r="L19" t="s" s="91">
        <v>144</v>
      </c>
      <c r="M19" t="s" s="91">
        <v>145</v>
      </c>
      <c r="N19" t="s" s="92">
        <v>147</v>
      </c>
      <c r="O19" t="s" s="92">
        <v>148</v>
      </c>
      <c r="P19" t="s" s="92">
        <v>149</v>
      </c>
      <c r="Q19" t="s" s="91">
        <v>143</v>
      </c>
      <c r="R19" t="s" s="91">
        <v>144</v>
      </c>
      <c r="S19" t="s" s="91">
        <v>145</v>
      </c>
      <c r="T19" t="s" s="93">
        <v>150</v>
      </c>
      <c r="U19" t="s" s="93">
        <v>151</v>
      </c>
      <c r="V19" s="242"/>
      <c r="W19" s="242"/>
      <c r="X19" s="242"/>
      <c r="Y19" s="89"/>
    </row>
    <row r="20" spans="1:25" ht="12.75" customHeight="1">
      <c r="A20" t="s" s="243">
        <v>152</v>
      </c>
      <c r="B20" s="244"/>
      <c r="C20" t="s" s="94">
        <v>142</v>
      </c>
      <c r="D20" t="s" s="94">
        <v>153</v>
      </c>
      <c r="E20" t="s" s="94">
        <v>146</v>
      </c>
      <c r="F20" t="s" s="94">
        <v>154</v>
      </c>
      <c r="G20" t="s" s="94">
        <v>155</v>
      </c>
      <c r="H20" t="s" s="94">
        <v>156</v>
      </c>
      <c r="I20" t="s" s="94">
        <v>157</v>
      </c>
      <c r="J20" t="s" s="94">
        <v>158</v>
      </c>
      <c r="K20" t="s" s="94">
        <v>159</v>
      </c>
      <c r="L20" t="s" s="94">
        <v>160</v>
      </c>
      <c r="M20" t="s" s="94">
        <v>161</v>
      </c>
      <c r="N20" t="s" s="94">
        <v>162</v>
      </c>
      <c r="O20" t="s" s="94">
        <v>163</v>
      </c>
      <c r="P20" t="s" s="94">
        <v>164</v>
      </c>
      <c r="Q20" t="s" s="95">
        <v>165</v>
      </c>
      <c r="R20" t="s" s="95">
        <v>166</v>
      </c>
      <c r="S20" t="s" s="95">
        <v>167</v>
      </c>
      <c r="T20" t="s" s="95">
        <v>168</v>
      </c>
      <c r="U20" t="s" s="95">
        <v>169</v>
      </c>
      <c r="V20" t="s" s="245">
        <v>170</v>
      </c>
      <c r="W20" s="246"/>
      <c r="X20" s="246"/>
      <c r="Y20" s="89"/>
    </row>
    <row r="21" spans="1:25" ht="20" customHeight="1">
      <c r="A21" s="256">
        <f>'00 ACC DETAILS 01'!C3</f>
      </c>
      <c r="B21" s="257"/>
      <c r="C21" s="96">
        <f>'01 SOA 01'!G13</f>
      </c>
      <c r="D21" s="97">
        <f>'00 ACC DETAILS 01'!C15</f>
      </c>
      <c r="E21" s="97">
        <f>'00 ACC DETAILS 01'!C16</f>
      </c>
      <c r="F21" s="97">
        <f>'00 ACC DETAILS 01'!C17</f>
      </c>
      <c r="G21" s="97"/>
      <c r="H21" s="97">
        <f>'00 ACC DETAILS 01'!C9</f>
      </c>
      <c r="I21" s="97">
        <f>'00 ACC DETAILS 01'!C7</f>
      </c>
      <c r="J21" s="132">
        <f>'00 ACC DETAILS 01'!C8</f>
      </c>
      <c r="K21" s="97">
        <f>'00 ACC DETAILS 01'!C19</f>
      </c>
      <c r="L21" s="97">
        <f>'00 ACC DETAILS 01'!C20</f>
      </c>
      <c r="M21" s="97">
        <f>'00 ACC DETAILS 01'!C21</f>
      </c>
      <c r="N21" s="97">
        <f>'00 ACC DETAILS 01'!C13</f>
      </c>
      <c r="O21" s="97">
        <f>'00 ACC DETAILS 01'!C11</f>
      </c>
      <c r="P21" s="132">
        <f>'00 ACC DETAILS 01'!C12</f>
      </c>
      <c r="Q21" s="97">
        <f>'00 ACC DETAILS 01'!C23</f>
      </c>
      <c r="R21" s="97">
        <f>'00 ACC DETAILS 01'!C24</f>
      </c>
      <c r="S21" s="97">
        <f>'00 ACC DETAILS 01'!C25</f>
      </c>
      <c r="T21" t="s" s="98">
        <v>173</v>
      </c>
      <c r="U21" s="97"/>
      <c r="V21" s="258"/>
      <c r="W21" s="258"/>
      <c r="X21" s="258"/>
      <c r="Y21" s="89"/>
    </row>
    <row r="22" spans="1:25" ht="20" customHeight="1">
      <c r="A22" s="267">
        <f>'00 ACC DETAILS 02'!C3</f>
      </c>
      <c r="B22" s="268"/>
      <c r="C22" s="169">
        <f>'01 SOA 02'!G15</f>
      </c>
      <c r="D22" s="170">
        <f>'00 ACC DETAILS 02'!C15</f>
      </c>
      <c r="E22" s="170">
        <f>'00 ACC DETAILS 02'!C16</f>
      </c>
      <c r="F22" s="170">
        <f>'00 ACC DETAILS 02'!C17</f>
      </c>
      <c r="G22" s="170"/>
      <c r="H22" s="170">
        <f>'00 ACC DETAILS 02'!C9</f>
      </c>
      <c r="I22" s="170">
        <f>'00 ACC DETAILS 02'!C7</f>
      </c>
      <c r="J22" s="171">
        <f>'00 ACC DETAILS 02'!C8</f>
      </c>
      <c r="K22" s="170">
        <f>'00 ACC DETAILS 02'!C19</f>
      </c>
      <c r="L22" s="170">
        <f>'00 ACC DETAILS 02'!C20</f>
      </c>
      <c r="M22" s="170">
        <f>'00 ACC DETAILS 02'!C21</f>
      </c>
      <c r="N22" s="170">
        <f>'00 ACC DETAILS 02'!C13</f>
      </c>
      <c r="O22" s="170">
        <f>'00 ACC DETAILS 02'!C11</f>
      </c>
      <c r="P22" s="171">
        <f>'00 ACC DETAILS 02'!C12</f>
      </c>
      <c r="Q22" s="170">
        <f>'00 ACC DETAILS 02'!C23</f>
      </c>
      <c r="R22" s="170">
        <f>'00 ACC DETAILS 02'!C24</f>
      </c>
      <c r="S22" s="170">
        <f>'00 ACC DETAILS 02'!C25</f>
      </c>
      <c r="T22" t="s" s="172">
        <v>173</v>
      </c>
      <c r="U22" s="97"/>
      <c r="V22" s="258"/>
      <c r="W22" s="258"/>
      <c r="X22" s="258"/>
      <c r="Y22" s="89"/>
    </row>
    <row r="23" spans="1:25" ht="20" customHeight="1">
      <c r="A23" s="267">
        <f>'00 ACC DETAILS 03'!C3</f>
      </c>
      <c r="B23" s="268"/>
      <c r="C23" s="169">
        <f>'01 SOA 03'!G15</f>
      </c>
      <c r="D23" s="170">
        <f>'00 ACC DETAILS 03'!C15</f>
      </c>
      <c r="E23" s="170">
        <f>'00 ACC DETAILS 03'!C16</f>
      </c>
      <c r="F23" s="170">
        <f>'00 ACC DETAILS 03'!C17</f>
      </c>
      <c r="G23" s="170"/>
      <c r="H23" s="170">
        <f>'00 ACC DETAILS 03'!C9</f>
      </c>
      <c r="I23" s="170">
        <f>'00 ACC DETAILS 03'!C7</f>
      </c>
      <c r="J23" s="171">
        <f>'00 ACC DETAILS 03'!C8</f>
      </c>
      <c r="K23" s="170">
        <f>'00 ACC DETAILS 03'!C19</f>
      </c>
      <c r="L23" s="170">
        <f>'00 ACC DETAILS 03'!C20</f>
      </c>
      <c r="M23" s="170">
        <f>'00 ACC DETAILS 03'!C21</f>
      </c>
      <c r="N23" s="170">
        <f>'00 ACC DETAILS 03'!C13</f>
      </c>
      <c r="O23" s="170">
        <f>'00 ACC DETAILS 03'!C11</f>
      </c>
      <c r="P23" s="171">
        <f>'00 ACC DETAILS 03'!C12</f>
      </c>
      <c r="Q23" s="170">
        <f>'00 ACC DETAILS 03'!C23</f>
      </c>
      <c r="R23" s="170">
        <f>'00 ACC DETAILS 03'!C24</f>
      </c>
      <c r="S23" s="170">
        <f>'00 ACC DETAILS 03'!C25</f>
      </c>
      <c r="T23" t="s" s="172">
        <v>173</v>
      </c>
      <c r="U23" s="97"/>
      <c r="V23" s="258"/>
      <c r="W23" s="258"/>
      <c r="X23" s="258"/>
      <c r="Y23" s="89"/>
    </row>
    <row r="24" spans="1:25" ht="20" customHeight="1">
      <c r="A24" s="267">
        <f>'00 ACC DETAILS 04'!C3</f>
      </c>
      <c r="B24" s="268"/>
      <c r="C24" s="169">
        <f>'01 SOA 04'!G15</f>
      </c>
      <c r="D24" s="170">
        <f>'00 ACC DETAILS 04'!C15</f>
      </c>
      <c r="E24" s="170">
        <f>'00 ACC DETAILS 04'!C16</f>
      </c>
      <c r="F24" s="170">
        <f>'00 ACC DETAILS 04'!C17</f>
      </c>
      <c r="G24" s="170"/>
      <c r="H24" s="170">
        <f>'00 ACC DETAILS 04'!C9</f>
      </c>
      <c r="I24" s="170">
        <f>'00 ACC DETAILS 04'!C7</f>
      </c>
      <c r="J24" s="171">
        <f>'00 ACC DETAILS 04'!C8</f>
      </c>
      <c r="K24" s="170">
        <f>'00 ACC DETAILS 04'!C19</f>
      </c>
      <c r="L24" s="170">
        <f>'00 ACC DETAILS 04'!C20</f>
      </c>
      <c r="M24" s="170">
        <f>'00 ACC DETAILS 04'!C21</f>
      </c>
      <c r="N24" s="170">
        <f>'00 ACC DETAILS 04'!C13</f>
      </c>
      <c r="O24" s="170">
        <f>'00 ACC DETAILS 04'!C11</f>
      </c>
      <c r="P24" s="171">
        <f>'00 ACC DETAILS 04'!C12</f>
      </c>
      <c r="Q24" s="170">
        <f>'00 ACC DETAILS 04'!C23</f>
      </c>
      <c r="R24" s="170">
        <f>'00 ACC DETAILS 04'!C24</f>
      </c>
      <c r="S24" s="170">
        <f>'00 ACC DETAILS 04'!C25</f>
      </c>
      <c r="T24" t="s" s="172">
        <v>173</v>
      </c>
      <c r="U24" s="97"/>
      <c r="V24" s="258"/>
      <c r="W24" s="258"/>
      <c r="X24" s="258"/>
      <c r="Y24" s="89"/>
    </row>
    <row r="25" spans="1:25" ht="20" customHeight="1">
      <c r="A25" s="267">
        <f>'00 ACC DETAILS 05'!C3</f>
      </c>
      <c r="B25" s="268"/>
      <c r="C25" s="169">
        <f>'01 SOA 05'!G15</f>
      </c>
      <c r="D25" s="170">
        <f>'00 ACC DETAILS 05'!C15</f>
      </c>
      <c r="E25" s="170">
        <f>'00 ACC DETAILS 05'!C16</f>
      </c>
      <c r="F25" s="170">
        <f>'00 ACC DETAILS 05'!C17</f>
      </c>
      <c r="G25" s="170"/>
      <c r="H25" s="170">
        <f>'00 ACC DETAILS 05'!C9</f>
      </c>
      <c r="I25" s="170">
        <f>'00 ACC DETAILS 05'!C7</f>
      </c>
      <c r="J25" s="171">
        <f>'00 ACC DETAILS 05'!C8</f>
      </c>
      <c r="K25" s="170">
        <f>'00 ACC DETAILS 05'!C19</f>
      </c>
      <c r="L25" s="170">
        <f>'00 ACC DETAILS 05'!C20</f>
      </c>
      <c r="M25" s="170">
        <f>'00 ACC DETAILS 05'!C21</f>
      </c>
      <c r="N25" s="170">
        <f>'00 ACC DETAILS 05'!C13</f>
      </c>
      <c r="O25" s="170">
        <f>'00 ACC DETAILS 05'!C11</f>
      </c>
      <c r="P25" s="171">
        <f>'00 ACC DETAILS 05'!C12</f>
      </c>
      <c r="Q25" s="170">
        <f>'00 ACC DETAILS 05'!C23</f>
      </c>
      <c r="R25" s="170">
        <f>'00 ACC DETAILS 05'!C24</f>
      </c>
      <c r="S25" s="170">
        <f>'00 ACC DETAILS 05'!C25</f>
      </c>
      <c r="T25" t="s" s="172">
        <v>173</v>
      </c>
      <c r="U25" s="97"/>
      <c r="V25" s="258"/>
      <c r="W25" s="258"/>
      <c r="X25" s="258"/>
      <c r="Y25" s="89"/>
    </row>
    <row r="26" spans="1:25" ht="20" customHeight="1">
      <c r="A26" s="259"/>
      <c r="B26" s="260"/>
      <c r="C26" s="99"/>
      <c r="D26" s="100"/>
      <c r="E26" s="100"/>
      <c r="F26" s="100"/>
      <c r="G26" s="100"/>
      <c r="H26" s="100"/>
      <c r="I26" s="101"/>
      <c r="J26" s="100"/>
      <c r="K26" s="100"/>
      <c r="L26" s="100"/>
      <c r="M26" s="100"/>
      <c r="N26" s="100"/>
      <c r="O26" s="100"/>
      <c r="P26" s="100"/>
      <c r="Q26" s="100"/>
      <c r="R26" s="100"/>
      <c r="S26" s="100"/>
      <c r="T26" s="102"/>
      <c r="U26" s="100"/>
      <c r="V26" s="261"/>
      <c r="W26" s="262"/>
      <c r="X26" s="263"/>
      <c r="Y26" s="89"/>
    </row>
    <row r="27" spans="1:25" ht="20" customHeight="1">
      <c r="A27" t="s" s="269">
        <v>99</v>
      </c>
      <c r="B27" s="270"/>
      <c r="C27" s="103">
        <f>SUM(C21:C26)</f>
      </c>
      <c r="D27" s="104"/>
      <c r="E27" s="104"/>
      <c r="F27" s="104"/>
      <c r="G27" s="104"/>
      <c r="H27" s="104"/>
      <c r="I27" s="105"/>
      <c r="J27" s="104"/>
      <c r="K27" s="104"/>
      <c r="L27" s="104"/>
      <c r="M27" s="104"/>
      <c r="N27" s="104"/>
      <c r="O27" s="104"/>
      <c r="P27" s="104"/>
      <c r="Q27" s="104"/>
      <c r="R27" s="104"/>
      <c r="S27" s="104"/>
      <c r="T27" s="98"/>
      <c r="U27" s="104"/>
      <c r="V27" s="258"/>
      <c r="W27" s="258"/>
      <c r="X27" s="258"/>
    </row>
    <row r="28" spans="1:25">
      <c r="A28" s="106"/>
      <c r="B28" s="106"/>
      <c r="C28" s="106"/>
      <c r="D28" s="106"/>
      <c r="E28" s="106"/>
    </row>
    <row r="29" spans="1:25">
      <c r="A29" t="s">
        <v>101</v>
      </c>
      <c r="I29" t="s">
        <v>174</v>
      </c>
      <c r="Q29" t="s">
        <v>175</v>
      </c>
    </row>
    <row r="30" spans="1:25">
      <c r="B30" s="107"/>
      <c r="C30" s="106"/>
      <c r="D30" s="106"/>
    </row>
    <row r="31" spans="1:25">
      <c r="A31" s="106"/>
      <c r="C31" t="s" s="271">
        <v>105</v>
      </c>
      <c r="D31" s="271"/>
      <c r="J31" t="s" s="272">
        <v>260</v>
      </c>
      <c r="K31" s="272"/>
      <c r="L31" s="272"/>
      <c r="R31" t="s" s="272">
        <v>108</v>
      </c>
      <c r="S31" s="272"/>
      <c r="T31" s="272"/>
    </row>
    <row r="32" spans="1:25">
      <c r="C32" t="s" s="273">
        <v>176</v>
      </c>
      <c r="D32" s="273"/>
      <c r="J32" t="s" s="264">
        <v>177</v>
      </c>
      <c r="K32" s="264"/>
      <c r="L32" s="264"/>
      <c r="R32" t="s" s="264">
        <v>261</v>
      </c>
      <c r="S32" s="264"/>
      <c r="T32" s="264"/>
    </row>
  </sheetData>
  <mergeCells count="39">
    <mergeCell ref="C31:D31"/>
    <mergeCell ref="J31:L31"/>
    <mergeCell ref="R31:T31"/>
    <mergeCell ref="C32:D32"/>
    <mergeCell ref="J32:L32"/>
    <mergeCell ref="R32:T32"/>
    <mergeCell ref="A27:B27"/>
    <mergeCell ref="V27:X27"/>
    <mergeCell ref="A24:B24"/>
    <mergeCell ref="V24:X24"/>
    <mergeCell ref="A25:B25"/>
    <mergeCell ref="V25:X25"/>
    <mergeCell ref="A2:X2"/>
    <mergeCell ref="K17:M18"/>
    <mergeCell ref="A21:B21"/>
    <mergeCell ref="V21:X21"/>
    <mergeCell ref="A26:B26"/>
    <mergeCell ref="V26:X26"/>
    <mergeCell ref="B6:R6"/>
    <mergeCell ref="A10:X10"/>
    <mergeCell ref="A5:X5"/>
    <mergeCell ref="A4:X4"/>
    <mergeCell ref="A3:X3"/>
    <mergeCell ref="A11:X11"/>
    <mergeCell ref="A22:B22"/>
    <mergeCell ref="V22:X22"/>
    <mergeCell ref="A23:B23"/>
    <mergeCell ref="V23:X23"/>
    <mergeCell ref="N17:P18"/>
    <mergeCell ref="Q17:S18"/>
    <mergeCell ref="T17:U17"/>
    <mergeCell ref="V17:X19"/>
    <mergeCell ref="A20:B20"/>
    <mergeCell ref="V20:X20"/>
    <mergeCell ref="A17:B19"/>
    <mergeCell ref="C17:C19"/>
    <mergeCell ref="D17:F18"/>
    <mergeCell ref="G17:G19"/>
    <mergeCell ref="H17:J18"/>
  </mergeCells>
  <printOptions horizontalCentered="1"/>
  <pageMargins left="0.28000000000000003" right="0.25" top="0.25" bottom="0.25" header="0.3" footer="0.3"/>
  <pageSetup paperSize="14" scale="62" orientation="landscape" copies="2" r:id="rId1"/>
  <colBreaks count="1" manualBreakCount="1">
    <brk id="24"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2D8F-4E2F-4731-8D2B-9C727F62F2E3}">
  <sheetPr>
    <pageSetUpPr fitToPage="1"/>
  </sheetPr>
  <sheetViews>
    <sheetView view="pageBreakPreview" zoomScale="85" zoomScaleSheetLayoutView="85" workbookViewId="0">
      <selection activeCell="D16" sqref="D16"/>
    </sheetView>
  </sheetViews>
  <sheetFormatPr baseColWidth="10" defaultColWidth="9.1640625" defaultRowHeight="16"/>
  <cols>
    <col min="1" max="1" width="12.5" style="109" customWidth="1"/>
    <col min="2" max="2" width="7.5" style="109" customWidth="1"/>
    <col min="3" max="3" width="30" style="109" customWidth="1"/>
    <col min="4" max="4" width="25.1640625" style="109" customWidth="1"/>
    <col min="5" max="5" width="13.5" style="109" customWidth="1"/>
    <col min="6" max="6" width="14.5" style="109" customWidth="1"/>
    <col min="7" max="7" width="9.5" style="109" customWidth="1"/>
    <col min="8" max="8" width="17.6640625" style="109" customWidth="1"/>
    <col min="9" max="9" width="13.5" style="109" customWidth="1"/>
    <col min="10" max="13" width="9.1640625" style="109"/>
    <col min="14" max="14" width="11.33203125" style="109" bestFit="1" customWidth="1"/>
    <col min="15" max="16384" width="9.1640625" style="109"/>
  </cols>
  <sheetData>
    <row r="1" spans="1:14" ht="17">
      <c r="A1" t="s" s="108">
        <v>178</v>
      </c>
    </row>
    <row r="3" spans="1:14">
      <c r="A3" s="109">
        <f>"DIVISION "&amp;'00 ACC DETAILS 01'!C4</f>
      </c>
    </row>
    <row r="4" spans="1:14">
      <c r="A4" t="s" s="279">
        <v>179</v>
      </c>
      <c r="B4" t="s" s="279">
        <v>180</v>
      </c>
      <c r="C4" t="s" s="279">
        <v>181</v>
      </c>
      <c r="D4" t="s" s="279">
        <v>182</v>
      </c>
      <c r="E4" t="s" s="274">
        <v>183</v>
      </c>
      <c r="F4" s="274"/>
      <c r="G4" s="274"/>
      <c r="H4" s="274"/>
      <c r="I4" s="110"/>
      <c r="L4" s="111"/>
    </row>
    <row r="5" spans="1:14" s="110" customFormat="1">
      <c r="A5" s="279"/>
      <c r="B5" s="279"/>
      <c r="C5" s="279"/>
      <c r="D5" s="279"/>
      <c r="E5" t="s" s="112">
        <v>184</v>
      </c>
      <c r="F5" t="s" s="112">
        <v>185</v>
      </c>
      <c r="G5" t="s" s="112">
        <v>186</v>
      </c>
      <c r="H5" t="s" s="112">
        <v>99</v>
      </c>
      <c r="L5" s="113"/>
      <c r="N5" s="114"/>
    </row>
    <row r="6" spans="1:14">
      <c r="A6" s="115">
        <f>'00 ACC DETAILS 01'!C3</f>
      </c>
      <c r="B6" s="116">
        <f>'01 SOA 01'!G13</f>
      </c>
      <c r="C6" s="117">
        <f>'01 SOA 01'!C14</f>
      </c>
      <c r="D6" s="117">
        <f>'01 SOA 01'!C15</f>
      </c>
      <c r="E6" s="118">
        <f>'01 SOA 01'!D100</f>
      </c>
      <c r="F6" s="118">
        <f>'01 SOA 01'!F100</f>
      </c>
      <c r="G6" s="118">
        <f>'01 SOA 01'!G101</f>
      </c>
      <c r="H6" s="116">
        <f>'01 SOA 01'!G100</f>
      </c>
      <c r="I6" s="119"/>
    </row>
    <row r="7" spans="1:14">
      <c r="A7" s="173">
        <f>'00 ACC DETAILS 02'!C3</f>
      </c>
      <c r="B7" s="174">
        <f>'01 SOA 02'!G15</f>
      </c>
      <c r="C7" s="175">
        <f>'01 SOA 02'!C16</f>
      </c>
      <c r="D7" s="175">
        <f>'01 SOA 02'!C17</f>
      </c>
      <c r="E7" s="176">
        <f>'01 SOA 02'!D102</f>
      </c>
      <c r="F7" s="176">
        <f>'01 SOA 02'!F102</f>
      </c>
      <c r="G7" s="176">
        <f>'01 SOA 02'!G103</f>
      </c>
      <c r="H7" s="174">
        <f>'01 SOA 02'!G102</f>
      </c>
      <c r="I7" s="119"/>
    </row>
    <row r="8" spans="1:14">
      <c r="A8" s="173">
        <f>'00 ACC DETAILS 03'!C3</f>
      </c>
      <c r="B8" s="174">
        <f>'01 SOA 03'!G15</f>
      </c>
      <c r="C8" s="175">
        <f>'01 SOA 03'!C16</f>
      </c>
      <c r="D8" s="175">
        <f>'01 SOA 03'!C17</f>
      </c>
      <c r="E8" s="176">
        <f>'01 SOA 03'!D102</f>
      </c>
      <c r="F8" s="176">
        <f>'01 SOA 03'!F102</f>
      </c>
      <c r="G8" s="176">
        <f>'01 SOA 03'!G103</f>
      </c>
      <c r="H8" s="174">
        <f>'01 SOA 03'!G102</f>
      </c>
      <c r="I8" s="119"/>
    </row>
    <row r="9" spans="1:14">
      <c r="A9" s="173">
        <f>'00 ACC DETAILS 04'!C3</f>
      </c>
      <c r="B9" s="174">
        <f>'01 SOA 04'!G15</f>
      </c>
      <c r="C9" s="175">
        <f>'01 SOA 04'!C16</f>
      </c>
      <c r="D9" s="175">
        <f>'01 SOA 04'!C17</f>
      </c>
      <c r="E9" s="176">
        <f>'01 SOA 04'!D102</f>
      </c>
      <c r="F9" s="176">
        <f>'01 SOA 04'!F102</f>
      </c>
      <c r="G9" s="176">
        <f>'01 SOA 04'!G103</f>
      </c>
      <c r="H9" s="174">
        <f>'01 SOA 04'!G102</f>
      </c>
      <c r="I9" s="119"/>
    </row>
    <row r="10" spans="1:14">
      <c r="A10" s="173">
        <f>'00 ACC DETAILS 05'!C3</f>
      </c>
      <c r="B10" s="174">
        <f>'01 SOA 05'!G15</f>
      </c>
      <c r="C10" s="175">
        <f>'01 SOA 05'!C16</f>
      </c>
      <c r="D10" s="175">
        <f>'01 SOA 05'!C17</f>
      </c>
      <c r="E10" s="176">
        <f>'01 SOA 05'!D102</f>
      </c>
      <c r="F10" s="176">
        <f>'01 SOA 05'!F102</f>
      </c>
      <c r="G10" s="176">
        <f>'01 SOA 05'!G103</f>
      </c>
      <c r="H10" s="174">
        <f>'01 SOA 05'!G102</f>
      </c>
      <c r="I10" s="119"/>
    </row>
    <row r="11" spans="1:14">
      <c r="A11" s="115"/>
      <c r="B11" s="116"/>
      <c r="C11" s="120"/>
      <c r="D11" s="121"/>
      <c r="E11" s="118"/>
      <c r="F11" s="118"/>
      <c r="G11" s="118"/>
      <c r="H11" s="116"/>
      <c r="I11" s="119"/>
    </row>
    <row r="12" spans="1:14">
      <c r="A12" t="s" s="122">
        <v>99</v>
      </c>
      <c r="B12" s="123">
        <f>SUM(B6:B11)</f>
      </c>
      <c r="C12" s="124"/>
      <c r="D12" s="124"/>
      <c r="E12" s="124">
        <f>SUM(E6:E11)</f>
      </c>
      <c r="F12" s="124">
        <f>SUM(F6:F11)</f>
      </c>
      <c r="G12" s="124">
        <f>SUM(G6:G11)</f>
      </c>
      <c r="H12" s="124">
        <f>SUM(H6:H11)</f>
      </c>
      <c r="I12" s="125"/>
    </row>
    <row r="13" spans="1:14">
      <c r="A13" s="126"/>
      <c r="B13" s="127"/>
      <c r="C13" s="128"/>
      <c r="D13" s="128"/>
      <c r="E13" s="128"/>
      <c r="F13" s="128"/>
      <c r="G13" s="128"/>
    </row>
    <row r="14" spans="1:14">
      <c r="A14" s="126"/>
      <c r="B14" s="127"/>
      <c r="C14" s="127"/>
      <c r="D14" s="127"/>
      <c r="E14" s="127"/>
      <c r="F14" s="127"/>
      <c r="G14" s="127"/>
    </row>
    <row r="15" spans="1:14">
      <c r="A15" t="s" s="126">
        <v>101</v>
      </c>
      <c r="B15" s="127"/>
      <c r="C15" t="s" s="277">
        <v>174</v>
      </c>
      <c r="D15" s="277"/>
      <c r="E15" s="127"/>
      <c r="F15" t="s" s="128">
        <v>175</v>
      </c>
      <c r="G15" s="129"/>
    </row>
    <row r="16" spans="1:14">
      <c r="A16" s="126"/>
      <c r="B16" s="127"/>
      <c r="C16" s="128"/>
      <c r="D16" s="128"/>
      <c r="E16" s="127"/>
      <c r="F16" s="128"/>
      <c r="G16" s="129"/>
    </row>
    <row r="17" spans="1:14">
      <c r="A17" s="126"/>
      <c r="B17" s="127"/>
    </row>
    <row r="18" spans="1:14" ht="15.75" customHeight="1">
      <c r="A18" t="s" s="278">
        <v>105</v>
      </c>
      <c r="B18" s="278"/>
      <c r="C18" s="278"/>
      <c r="D18" t="s" s="275">
        <v>260</v>
      </c>
      <c r="E18" s="275"/>
      <c r="G18" t="s" s="275">
        <v>108</v>
      </c>
      <c r="H18" s="275"/>
      <c r="I18" s="110"/>
    </row>
    <row r="19" spans="1:14">
      <c r="A19" t="s" s="277">
        <v>187</v>
      </c>
      <c r="B19" s="277"/>
      <c r="C19" s="277"/>
      <c r="D19" t="s" s="276">
        <v>177</v>
      </c>
      <c r="E19" s="276"/>
      <c r="G19" t="s" s="276">
        <v>261</v>
      </c>
      <c r="H19" s="276"/>
      <c r="I19" s="113"/>
    </row>
    <row r="20" spans="1:14">
      <c r="A20" s="113"/>
      <c r="B20" s="127"/>
    </row>
    <row r="21" spans="1:14">
      <c r="A21" s="113"/>
      <c r="B21" s="127"/>
    </row>
    <row r="22" spans="1:14">
      <c r="A22" s="113"/>
      <c r="B22" s="127"/>
    </row>
    <row r="23" spans="1:14">
      <c r="A23" s="113"/>
      <c r="B23" s="127"/>
    </row>
    <row r="24" spans="1:14">
      <c r="A24" s="113"/>
      <c r="B24" s="127"/>
    </row>
    <row r="25" spans="1:14">
      <c r="B25" s="127"/>
    </row>
    <row r="26" spans="1:14">
      <c r="B26" s="127"/>
    </row>
    <row r="27" spans="1:14">
      <c r="B27" s="127"/>
    </row>
    <row r="28" spans="1:14">
      <c r="B28" s="127"/>
    </row>
    <row r="31" spans="1:14">
      <c r="N31" s="130"/>
    </row>
  </sheetData>
  <mergeCells count="12">
    <mergeCell ref="E4:H4"/>
    <mergeCell ref="D18:E18"/>
    <mergeCell ref="G18:H18"/>
    <mergeCell ref="D19:E19"/>
    <mergeCell ref="G19:H19"/>
    <mergeCell ref="C15:D15"/>
    <mergeCell ref="A18:C18"/>
    <mergeCell ref="A19:C19"/>
    <mergeCell ref="A4:A5"/>
    <mergeCell ref="B4:B5"/>
    <mergeCell ref="C4:C5"/>
    <mergeCell ref="D4:D5"/>
  </mergeCells>
  <printOptions horizontalCentered="1"/>
  <pageMargins left="0.25" right="0.25" top="0.53" bottom="0.25" header="0.3" footer="0.3"/>
  <pageSetup paperSize="9" scale="71" orientation="portrait" horizontalDpi="300" verticalDpi="300" r:id="rId1"/>
  <colBreaks count="1" manualBreakCount="1">
    <brk id="9"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6EBBA-4121-402C-AACC-EA22352B3A11}">
  <sheetPr>
    <pageSetUpPr fitToPage="1"/>
  </sheetPr>
  <sheetViews>
    <sheetView view="pageBreakPreview" topLeftCell="A5" zoomScale="150" zoomScaleNormal="145" zoomScaleSheetLayoutView="100" workbookViewId="0">
      <selection activeCell="T16" sqref="T16"/>
    </sheetView>
  </sheetViews>
  <sheetFormatPr baseColWidth="10" defaultColWidth="8.83203125" defaultRowHeight="15"/>
  <cols>
    <col min="1" max="2" width="4.5" customWidth="1"/>
    <col min="3"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c r="A1" t="s" s="282">
        <v>262</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row>
    <row r="2" spans="1:28" ht="17">
      <c r="A2" t="s" s="281">
        <v>263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row>
    <row r="3" spans="1:28">
      <c r="A3" t="s" s="280">
        <v>264</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row>
    <row r="4" spans="1:28" ht="18" customHeight="1">
      <c r="A4" t="s" s="280">
        <v>265</v>
      </c>
      <c r="B4" s="28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row>
    <row r="5" spans="1:28" ht="18" customHeight="1">
      <c r="A5" s="191"/>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row>
    <row r="7" spans="1:28">
      <c r="L7" s="158"/>
      <c r="Y7" t="s" s="158">
        <v>203</v>
      </c>
    </row>
    <row r="8" spans="1:28" ht="16" thickBot="1">
      <c r="L8" s="158"/>
      <c r="Y8" s="158"/>
    </row>
    <row r="9" spans="1:28" ht="45" customHeight="1" thickBot="1">
      <c r="A9" t="s" s="300">
        <v>202</v>
      </c>
      <c r="B9" s="301"/>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2"/>
    </row>
    <row r="11" spans="1:28">
      <c r="A11" t="s" s="134">
        <v>204</v>
      </c>
    </row>
    <row r="12" spans="1:28">
      <c r="A12" t="s" s="134">
        <v>266</v>
      </c>
    </row>
    <row r="13" spans="1:28">
      <c r="A13" t="s" s="134">
        <v>205</v>
      </c>
    </row>
    <row r="14" spans="1:28">
      <c r="A14" t="s" s="134">
        <v>206</v>
      </c>
      <c r="E14" s="160"/>
      <c r="H14" s="160"/>
      <c r="L14" s="160">
        <f>'03 PARTIAL LIST'!C6</f>
      </c>
    </row>
    <row r="15" spans="1:28">
      <c r="A15" t="s" s="134">
        <v>207</v>
      </c>
      <c r="Q15" s="161">
        <f>PROPER('00 ACC DETAILS 01'!C19&amp;", "&amp;'00 ACC DETAILS 01'!C20&amp;", "&amp;'00 ACC DETAILS 01'!C21)</f>
      </c>
    </row>
    <row r="16" spans="1:28">
      <c r="A16" t="s" s="134">
        <v>208</v>
      </c>
      <c r="N16" s="160">
        <f>'03 PARTIAL LIST'!D6</f>
      </c>
    </row>
    <row r="17" spans="1:28">
      <c r="A17" t="s" s="134">
        <v>209</v>
      </c>
      <c r="S17" s="161">
        <f>PROPER('00 ACC DETAILS 01'!C23&amp;", "&amp;'00 ACC DETAILS 01'!C24&amp;", "&amp;'00 ACC DETAILS 01'!C25)</f>
      </c>
    </row>
    <row r="19" spans="1:28">
      <c r="A19" t="s" s="298">
        <v>179</v>
      </c>
      <c r="B19" s="298"/>
      <c r="C19" t="s" s="298">
        <v>180</v>
      </c>
      <c r="D19" s="298"/>
      <c r="E19" t="s" s="292">
        <v>216</v>
      </c>
      <c r="F19" s="293"/>
      <c r="G19" s="293"/>
      <c r="H19" s="293"/>
      <c r="I19" s="293"/>
      <c r="J19" s="293"/>
      <c r="K19" s="293"/>
      <c r="L19" s="293"/>
      <c r="M19" s="293"/>
      <c r="N19" s="293"/>
      <c r="O19" s="293"/>
      <c r="P19" s="294"/>
      <c r="Q19" t="s" s="285">
        <v>211</v>
      </c>
      <c r="R19" s="285"/>
      <c r="S19" s="285"/>
      <c r="T19" s="285"/>
      <c r="U19" s="285"/>
      <c r="V19" s="285"/>
      <c r="W19" s="285"/>
      <c r="X19" s="285"/>
      <c r="Y19" s="285"/>
      <c r="Z19" s="285"/>
      <c r="AA19" s="285"/>
      <c r="AB19" s="285"/>
    </row>
    <row r="20" spans="1:28">
      <c r="A20" s="298"/>
      <c r="B20" s="298"/>
      <c r="C20" s="298"/>
      <c r="D20" s="298"/>
      <c r="E20" s="295"/>
      <c r="F20" s="296"/>
      <c r="G20" s="296"/>
      <c r="H20" s="296"/>
      <c r="I20" s="296"/>
      <c r="J20" s="296"/>
      <c r="K20" s="296"/>
      <c r="L20" s="296"/>
      <c r="M20" s="296"/>
      <c r="N20" s="296"/>
      <c r="O20" s="296"/>
      <c r="P20" s="297"/>
      <c r="Q20" t="s" s="285">
        <v>184</v>
      </c>
      <c r="R20" s="285"/>
      <c r="S20" s="285"/>
      <c r="T20" s="145"/>
      <c r="U20" t="s" s="162">
        <v>210</v>
      </c>
      <c r="V20" s="145"/>
      <c r="W20" t="s" s="285">
        <v>212</v>
      </c>
      <c r="X20" s="285"/>
      <c r="Y20" s="285"/>
      <c r="Z20" t="s" s="285">
        <v>99</v>
      </c>
      <c r="AA20" s="285"/>
      <c r="AB20" s="285"/>
    </row>
    <row r="21" spans="1:28">
      <c r="A21" s="303">
        <f>'03 PARTIAL LIST'!A6</f>
      </c>
      <c r="B21" s="303"/>
      <c r="C21" s="284">
        <f>'03 PARTIAL LIST'!B6</f>
      </c>
      <c r="D21" s="284"/>
      <c r="E21" s="289">
        <f>PROPER('02 REGISTRY'!D21&amp;", "&amp;'02 REGISTRY'!E21&amp;", "&amp;'02 REGISTRY'!F21)</f>
      </c>
      <c r="F21" s="290"/>
      <c r="G21" s="290"/>
      <c r="H21" s="290"/>
      <c r="I21" s="290"/>
      <c r="J21" s="290"/>
      <c r="K21" s="290"/>
      <c r="L21" s="290"/>
      <c r="M21" s="290"/>
      <c r="N21" s="290"/>
      <c r="O21" s="290"/>
      <c r="P21" s="291"/>
      <c r="Q21" s="284">
        <f>'03 PARTIAL LIST'!E6</f>
      </c>
      <c r="R21" s="284"/>
      <c r="S21" s="284"/>
      <c r="T21" s="284">
        <f>'03 PARTIAL LIST'!F6</f>
      </c>
      <c r="U21" s="284"/>
      <c r="V21" s="284"/>
      <c r="W21" s="284">
        <f>'03 PARTIAL LIST'!G6</f>
      </c>
      <c r="X21" s="284"/>
      <c r="Y21" s="284"/>
      <c r="Z21" s="284">
        <f>'03 PARTIAL LIST'!H6</f>
      </c>
      <c r="AA21" s="284"/>
      <c r="AB21" s="284"/>
    </row>
    <row r="22" spans="1:28">
      <c r="A22" s="304">
        <f>'03 PARTIAL LIST'!A7</f>
      </c>
      <c r="B22" s="304"/>
      <c r="C22" s="283">
        <f>'03 PARTIAL LIST'!B7</f>
      </c>
      <c r="D22" s="283"/>
      <c r="E22" s="286">
        <f>PROPER('02 REGISTRY'!D22&amp;", "&amp;'02 REGISTRY'!E22&amp;", "&amp;'02 REGISTRY'!F22)</f>
      </c>
      <c r="F22" s="287"/>
      <c r="G22" s="287"/>
      <c r="H22" s="287"/>
      <c r="I22" s="287"/>
      <c r="J22" s="287"/>
      <c r="K22" s="287"/>
      <c r="L22" s="287"/>
      <c r="M22" s="287"/>
      <c r="N22" s="287"/>
      <c r="O22" s="287"/>
      <c r="P22" s="288"/>
      <c r="Q22" s="283">
        <f>'03 PARTIAL LIST'!E7</f>
      </c>
      <c r="R22" s="283"/>
      <c r="S22" s="283"/>
      <c r="T22" s="283">
        <f>'03 PARTIAL LIST'!F7</f>
      </c>
      <c r="U22" s="283"/>
      <c r="V22" s="283"/>
      <c r="W22" s="283">
        <f>'03 PARTIAL LIST'!G7</f>
      </c>
      <c r="X22" s="283"/>
      <c r="Y22" s="283"/>
      <c r="Z22" s="283">
        <f>'03 PARTIAL LIST'!H7</f>
      </c>
      <c r="AA22" s="283"/>
      <c r="AB22" s="283"/>
    </row>
    <row r="23" spans="1:28">
      <c r="A23" s="304">
        <f>'03 PARTIAL LIST'!A8</f>
      </c>
      <c r="B23" s="304"/>
      <c r="C23" s="283">
        <f>'03 PARTIAL LIST'!B8</f>
      </c>
      <c r="D23" s="283"/>
      <c r="E23" s="286">
        <f>PROPER('02 REGISTRY'!D23&amp;", "&amp;'02 REGISTRY'!E23&amp;", "&amp;'02 REGISTRY'!F23)</f>
      </c>
      <c r="F23" s="287"/>
      <c r="G23" s="287"/>
      <c r="H23" s="287"/>
      <c r="I23" s="287"/>
      <c r="J23" s="287"/>
      <c r="K23" s="287"/>
      <c r="L23" s="287"/>
      <c r="M23" s="287"/>
      <c r="N23" s="287"/>
      <c r="O23" s="287"/>
      <c r="P23" s="288"/>
      <c r="Q23" s="283">
        <f>'03 PARTIAL LIST'!E8</f>
      </c>
      <c r="R23" s="283"/>
      <c r="S23" s="283"/>
      <c r="T23" s="283">
        <f>'03 PARTIAL LIST'!F8</f>
      </c>
      <c r="U23" s="283"/>
      <c r="V23" s="283"/>
      <c r="W23" s="283">
        <f>'03 PARTIAL LIST'!G8</f>
      </c>
      <c r="X23" s="283"/>
      <c r="Y23" s="283"/>
      <c r="Z23" s="283">
        <f>'03 PARTIAL LIST'!H8</f>
      </c>
      <c r="AA23" s="283"/>
      <c r="AB23" s="283"/>
    </row>
    <row r="24" spans="1:28">
      <c r="A24" s="304">
        <f>'03 PARTIAL LIST'!A9</f>
      </c>
      <c r="B24" s="304"/>
      <c r="C24" s="283">
        <f>'03 PARTIAL LIST'!B9</f>
      </c>
      <c r="D24" s="283"/>
      <c r="E24" s="286">
        <f>PROPER('02 REGISTRY'!D24&amp;", "&amp;'02 REGISTRY'!E24&amp;", "&amp;'02 REGISTRY'!F24)</f>
      </c>
      <c r="F24" s="287"/>
      <c r="G24" s="287"/>
      <c r="H24" s="287"/>
      <c r="I24" s="287"/>
      <c r="J24" s="287"/>
      <c r="K24" s="287"/>
      <c r="L24" s="287"/>
      <c r="M24" s="287"/>
      <c r="N24" s="287"/>
      <c r="O24" s="287"/>
      <c r="P24" s="288"/>
      <c r="Q24" s="283">
        <f>'03 PARTIAL LIST'!E9</f>
      </c>
      <c r="R24" s="283"/>
      <c r="S24" s="283"/>
      <c r="T24" s="283">
        <f>'03 PARTIAL LIST'!F9</f>
      </c>
      <c r="U24" s="283"/>
      <c r="V24" s="283"/>
      <c r="W24" s="283">
        <f>'03 PARTIAL LIST'!G9</f>
      </c>
      <c r="X24" s="283"/>
      <c r="Y24" s="283"/>
      <c r="Z24" s="283">
        <f>'03 PARTIAL LIST'!H9</f>
      </c>
      <c r="AA24" s="283"/>
      <c r="AB24" s="283"/>
    </row>
    <row r="25" spans="1:28">
      <c r="A25" s="304">
        <f>'03 PARTIAL LIST'!A10</f>
      </c>
      <c r="B25" s="304"/>
      <c r="C25" s="283">
        <f>'03 PARTIAL LIST'!B10</f>
      </c>
      <c r="D25" s="283"/>
      <c r="E25" s="286">
        <f>PROPER('02 REGISTRY'!D25&amp;", "&amp;'02 REGISTRY'!E25&amp;", "&amp;'02 REGISTRY'!F25)</f>
      </c>
      <c r="F25" s="287"/>
      <c r="G25" s="287"/>
      <c r="H25" s="287"/>
      <c r="I25" s="287"/>
      <c r="J25" s="287"/>
      <c r="K25" s="287"/>
      <c r="L25" s="287"/>
      <c r="M25" s="287"/>
      <c r="N25" s="287"/>
      <c r="O25" s="287"/>
      <c r="P25" s="288"/>
      <c r="Q25" s="283">
        <f>'03 PARTIAL LIST'!E10</f>
      </c>
      <c r="R25" s="283"/>
      <c r="S25" s="283"/>
      <c r="T25" s="283">
        <f>'03 PARTIAL LIST'!F10</f>
      </c>
      <c r="U25" s="283"/>
      <c r="V25" s="283"/>
      <c r="W25" s="283">
        <f>'03 PARTIAL LIST'!G10</f>
      </c>
      <c r="X25" s="283"/>
      <c r="Y25" s="283"/>
      <c r="Z25" s="283">
        <f>'03 PARTIAL LIST'!H10</f>
      </c>
      <c r="AA25" s="283"/>
      <c r="AB25" s="283"/>
    </row>
    <row r="26" spans="1:28">
      <c r="A26" s="303"/>
      <c r="B26" s="303"/>
      <c r="C26" s="284"/>
      <c r="D26" s="284"/>
      <c r="E26" s="289"/>
      <c r="F26" s="290"/>
      <c r="G26" s="290"/>
      <c r="H26" s="290"/>
      <c r="I26" s="290"/>
      <c r="J26" s="290"/>
      <c r="K26" s="290"/>
      <c r="L26" s="290"/>
      <c r="M26" s="290"/>
      <c r="N26" s="290"/>
      <c r="O26" s="290"/>
      <c r="P26" s="291"/>
      <c r="Q26" s="284"/>
      <c r="R26" s="284"/>
      <c r="S26" s="284"/>
      <c r="T26" s="284"/>
      <c r="U26" s="284"/>
      <c r="V26" s="284"/>
      <c r="W26" s="284"/>
      <c r="X26" s="284"/>
      <c r="Y26" s="284"/>
      <c r="Z26" s="284"/>
      <c r="AA26" s="284"/>
      <c r="AB26" s="284"/>
    </row>
    <row r="27" spans="1:28">
      <c r="A27" t="s" s="299">
        <v>99</v>
      </c>
      <c r="B27" s="299"/>
      <c r="C27" s="284">
        <f>SUM(C21:C26)</f>
      </c>
      <c r="D27" s="284"/>
      <c r="E27" s="289"/>
      <c r="F27" s="290"/>
      <c r="G27" s="290"/>
      <c r="H27" s="290"/>
      <c r="I27" s="290"/>
      <c r="J27" s="290"/>
      <c r="K27" s="290"/>
      <c r="L27" s="290"/>
      <c r="M27" s="290"/>
      <c r="N27" s="290"/>
      <c r="O27" s="290"/>
      <c r="P27" s="291"/>
      <c r="Q27" s="284">
        <f>SUM(Q21:Q26)</f>
      </c>
      <c r="R27" s="284"/>
      <c r="S27" s="284"/>
      <c r="T27" s="284">
        <f>SUM(T21:T26)</f>
      </c>
      <c r="U27" s="284"/>
      <c r="V27" s="284"/>
      <c r="W27" s="284">
        <f>SUM(W21:W26)</f>
      </c>
      <c r="X27" s="284"/>
      <c r="Y27" s="284"/>
      <c r="Z27" s="284">
        <f>SUM(Z21:Z26)</f>
      </c>
      <c r="AA27" s="284"/>
      <c r="AB27" s="284"/>
    </row>
    <row r="32" spans="1:28" s="134" customFormat="1" ht="14">
      <c r="B32" t="s" s="159">
        <v>101</v>
      </c>
      <c r="S32" t="s" s="159">
        <v>214</v>
      </c>
    </row>
    <row r="33" spans="5:23" s="134" customFormat="1" ht="14"/>
    <row r="34" spans="5:23" s="134" customFormat="1" ht="14">
      <c r="E34" s="159"/>
      <c r="V34" s="159"/>
    </row>
    <row r="35" spans="5:23" s="134" customFormat="1" ht="14">
      <c r="E35" s="159"/>
      <c r="F35" t="s" s="164">
        <v>105</v>
      </c>
      <c r="V35" s="159"/>
      <c r="W35" t="s" s="164">
        <v>260</v>
      </c>
    </row>
    <row r="36" spans="5:23" s="134" customFormat="1" ht="14">
      <c r="F36" t="s" s="165">
        <v>213</v>
      </c>
      <c r="W36" t="s" s="165">
        <v>177</v>
      </c>
    </row>
    <row r="37" spans="5:23">
      <c r="F37" t="s" s="178">
        <v>215</v>
      </c>
      <c r="W37" t="s" s="178">
        <v>215</v>
      </c>
    </row>
    <row r="39" spans="5:23" s="134" customFormat="1" ht="14"/>
    <row r="40" spans="5:23" s="134" customFormat="1" ht="14">
      <c r="J40" t="s" s="159">
        <v>175</v>
      </c>
    </row>
    <row r="41" spans="5:23" s="134" customFormat="1" ht="14"/>
    <row r="42" spans="5:23" s="134" customFormat="1" ht="14"/>
    <row r="43" spans="5:23" s="134" customFormat="1" ht="14">
      <c r="N43" t="s" s="194">
        <v>108</v>
      </c>
    </row>
    <row r="44" spans="5:23" s="134" customFormat="1" ht="14">
      <c r="N44" t="s" s="193">
        <v>261</v>
      </c>
    </row>
    <row r="45" spans="5:23" s="134" customFormat="1" ht="14">
      <c r="N45" t="s" s="192">
        <v>215</v>
      </c>
    </row>
    <row r="46" spans="5:23" s="134" customFormat="1" ht="14">
      <c r="N46" s="163"/>
    </row>
    <row r="47" spans="5:23" s="134" customFormat="1" ht="14">
      <c r="N47" s="163"/>
    </row>
    <row r="48" spans="5:23"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6" spans="14:14" s="134" customFormat="1" ht="14"/>
    <row r="57" spans="14:14" s="134" customFormat="1" ht="14"/>
  </sheetData>
  <mergeCells count="61">
    <mergeCell ref="Q25:S25"/>
    <mergeCell ref="Q26:S26"/>
    <mergeCell ref="C27:D27"/>
    <mergeCell ref="A27:B27"/>
    <mergeCell ref="A9:AB9"/>
    <mergeCell ref="A19:B20"/>
    <mergeCell ref="A21:B21"/>
    <mergeCell ref="A22:B22"/>
    <mergeCell ref="A23:B23"/>
    <mergeCell ref="A24:B24"/>
    <mergeCell ref="A25:B25"/>
    <mergeCell ref="C21:D21"/>
    <mergeCell ref="C22:D22"/>
    <mergeCell ref="C23:D23"/>
    <mergeCell ref="C24:D24"/>
    <mergeCell ref="A26:B26"/>
    <mergeCell ref="C26:D26"/>
    <mergeCell ref="E19:P20"/>
    <mergeCell ref="E21:P21"/>
    <mergeCell ref="E22:P22"/>
    <mergeCell ref="E23:P23"/>
    <mergeCell ref="E24:P24"/>
    <mergeCell ref="C19:D20"/>
    <mergeCell ref="C25:D25"/>
    <mergeCell ref="Q27:S27"/>
    <mergeCell ref="E25:P25"/>
    <mergeCell ref="E26:P26"/>
    <mergeCell ref="E27:P27"/>
    <mergeCell ref="Q19:AB19"/>
    <mergeCell ref="W20:Y20"/>
    <mergeCell ref="W21:Y21"/>
    <mergeCell ref="W22:Y22"/>
    <mergeCell ref="W23:Y23"/>
    <mergeCell ref="T21:V21"/>
    <mergeCell ref="T22:V22"/>
    <mergeCell ref="T23:V23"/>
    <mergeCell ref="Q21:S21"/>
    <mergeCell ref="Q20:S20"/>
    <mergeCell ref="Q22:S22"/>
    <mergeCell ref="Q23:S23"/>
    <mergeCell ref="Z26:AB26"/>
    <mergeCell ref="Z27:AB27"/>
    <mergeCell ref="Z20:AB20"/>
    <mergeCell ref="Z21:AB21"/>
    <mergeCell ref="Z22:AB22"/>
    <mergeCell ref="Z23:AB23"/>
    <mergeCell ref="Z24:AB24"/>
    <mergeCell ref="Z25:AB25"/>
    <mergeCell ref="W25:Y25"/>
    <mergeCell ref="W27:Y27"/>
    <mergeCell ref="W26:Y26"/>
    <mergeCell ref="T24:V24"/>
    <mergeCell ref="T25:V25"/>
    <mergeCell ref="T26:V26"/>
    <mergeCell ref="T27:V27"/>
    <mergeCell ref="A4:AB4"/>
    <mergeCell ref="A3:AB3"/>
    <mergeCell ref="A2:AB2"/>
    <mergeCell ref="A1:AB1"/>
    <mergeCell ref="W24:Y24"/>
    <mergeCell ref="Q24:S24"/>
  </mergeCells>
  <printOptions horizontalCentered="1"/>
  <pageMargins left="0.25" right="0.25" top="0.25" bottom="0.25" header="0.3" footer="0.3"/>
  <pageSetup paperSize="9" scale="95" orientation="portrait" r:id="rId1"/>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722E-197E-48DA-BC54-36E1B5F8A86F}">
  <sheetPr>
    <pageSetUpPr fitToPage="1"/>
  </sheetPr>
  <sheetViews>
    <sheetView view="pageBreakPreview" zoomScale="85" zoomScaleNormal="145" zoomScaleSheetLayoutView="85" workbookViewId="0">
      <selection activeCell="AD26" sqref="AD26"/>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15.75" customHeight="1">
      <c r="A1" t="s" s="282">
        <v>262</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row>
    <row r="2" spans="1:28" ht="15.75" customHeight="1">
      <c r="A2" t="s" s="281">
        <v>263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row>
    <row r="3" spans="1:28" ht="15.75" customHeight="1">
      <c r="A3" t="s" s="280">
        <v>264</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row>
    <row r="4" spans="1:28" ht="15.75" customHeight="1">
      <c r="A4" t="s" s="280">
        <v>265</v>
      </c>
      <c r="B4" s="28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row>
    <row r="6" spans="1:28">
      <c r="L6" s="158"/>
      <c r="Y6" t="s" s="158">
        <v>217</v>
      </c>
    </row>
    <row r="7" spans="1:28" ht="16" thickBot="1">
      <c r="L7" s="158"/>
      <c r="Y7" s="158"/>
    </row>
    <row r="8" spans="1:28" ht="45" customHeight="1" thickBot="1">
      <c r="A8" t="s" s="305">
        <v>218</v>
      </c>
      <c r="B8" s="306"/>
      <c r="C8" s="306"/>
      <c r="D8" s="306"/>
      <c r="E8" s="306"/>
      <c r="F8" s="306"/>
      <c r="G8" s="306"/>
      <c r="H8" s="306"/>
      <c r="I8" s="306"/>
      <c r="J8" s="306"/>
      <c r="K8" s="306"/>
      <c r="L8" s="306"/>
      <c r="M8" s="306"/>
      <c r="N8" s="306"/>
      <c r="O8" s="306"/>
      <c r="P8" s="306"/>
      <c r="Q8" s="306"/>
      <c r="R8" s="306"/>
      <c r="S8" s="306"/>
      <c r="T8" s="306"/>
      <c r="U8" s="306"/>
      <c r="V8" s="306"/>
      <c r="W8" s="306"/>
      <c r="X8" s="306"/>
      <c r="Y8" s="306"/>
      <c r="Z8" s="306"/>
      <c r="AA8" s="306"/>
      <c r="AB8" s="307"/>
    </row>
    <row r="10" spans="1:28">
      <c r="A10" t="s" s="311">
        <v>229</v>
      </c>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row>
    <row r="11" spans="1:28">
      <c r="A11" s="312"/>
      <c r="B11" s="312"/>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row>
    <row r="12" spans="1:28">
      <c r="A12" s="134"/>
    </row>
    <row r="13" spans="1:28">
      <c r="A13" t="s" s="311">
        <v>228</v>
      </c>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row>
    <row r="14" spans="1:28">
      <c r="A14" s="312"/>
      <c r="B14" s="312"/>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c r="AA14" s="312"/>
      <c r="AB14" s="312"/>
    </row>
    <row r="15" spans="1:28" s="134" customFormat="1" ht="14">
      <c r="N15" s="160"/>
    </row>
    <row r="16" spans="1:28" s="134" customFormat="1" ht="14">
      <c r="C16" t="s" s="177">
        <v>219</v>
      </c>
      <c r="D16" t="s" s="312">
        <v>220</v>
      </c>
      <c r="E16" s="312"/>
      <c r="F16" s="312"/>
      <c r="G16" s="312"/>
      <c r="H16" s="312"/>
      <c r="I16" s="312"/>
      <c r="J16" s="312"/>
      <c r="K16" s="312"/>
      <c r="L16" s="312"/>
      <c r="M16" s="312"/>
      <c r="N16" s="312"/>
      <c r="O16" s="312"/>
      <c r="P16" s="312"/>
      <c r="Q16" s="312"/>
      <c r="R16" s="312"/>
      <c r="S16" s="312"/>
      <c r="T16" s="312"/>
      <c r="U16" s="312"/>
      <c r="V16" s="312"/>
      <c r="W16" s="312"/>
      <c r="X16" s="312"/>
      <c r="Y16" s="312"/>
      <c r="Z16" s="312"/>
      <c r="AA16" s="312"/>
      <c r="AB16" s="312"/>
    </row>
    <row r="17" spans="1:28" s="134" customFormat="1" ht="14">
      <c r="D17" s="312"/>
      <c r="E17" s="312"/>
      <c r="F17" s="312"/>
      <c r="G17" s="312"/>
      <c r="H17" s="312"/>
      <c r="I17" s="312"/>
      <c r="J17" s="312"/>
      <c r="K17" s="312"/>
      <c r="L17" s="312"/>
      <c r="M17" s="312"/>
      <c r="N17" s="312"/>
      <c r="O17" s="312"/>
      <c r="P17" s="312"/>
      <c r="Q17" s="312"/>
      <c r="R17" s="312"/>
      <c r="S17" s="312"/>
      <c r="T17" s="312"/>
      <c r="U17" s="312"/>
      <c r="V17" s="312"/>
      <c r="W17" s="312"/>
      <c r="X17" s="312"/>
      <c r="Y17" s="312"/>
      <c r="Z17" s="312"/>
      <c r="AA17" s="312"/>
      <c r="AB17" s="312"/>
    </row>
    <row r="18" spans="1:28" s="134" customFormat="1" ht="14">
      <c r="N18" s="160"/>
    </row>
    <row r="19" spans="1:28" s="134" customFormat="1" ht="15" customHeight="1">
      <c r="C19" t="s" s="177">
        <v>223</v>
      </c>
      <c r="D19" t="s" s="312">
        <v>221</v>
      </c>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row>
    <row r="20" spans="1:28" s="134" customFormat="1" ht="14"/>
    <row r="21" spans="1:28" s="134" customFormat="1" ht="14">
      <c r="C21" t="s" s="177">
        <v>224</v>
      </c>
      <c r="D21" t="s" s="312">
        <v>222</v>
      </c>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row>
    <row r="22" spans="1:28" s="134" customFormat="1" ht="14"/>
    <row r="23" spans="1:28" s="134" customFormat="1" ht="14">
      <c r="C23" t="s" s="177">
        <v>226</v>
      </c>
      <c r="D23" t="s" s="312">
        <v>225</v>
      </c>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row>
    <row r="24" spans="1:28">
      <c r="A24" s="134"/>
      <c r="N24" s="160"/>
    </row>
    <row r="25" spans="1:28" ht="15" customHeight="1">
      <c r="A25" s="134"/>
      <c r="C25" t="s" s="311">
        <v>227</v>
      </c>
      <c r="D25" s="311"/>
      <c r="E25" s="311"/>
      <c r="F25" s="311"/>
      <c r="G25" s="311"/>
      <c r="H25" s="311"/>
      <c r="I25" s="311"/>
      <c r="J25" s="311"/>
      <c r="K25" s="311"/>
      <c r="L25" s="311"/>
      <c r="M25" s="311"/>
      <c r="N25" s="311"/>
      <c r="O25" s="311"/>
      <c r="P25" s="311"/>
      <c r="Q25" s="311"/>
      <c r="R25" s="311"/>
      <c r="S25" s="311"/>
      <c r="T25" s="311"/>
      <c r="U25" s="311"/>
      <c r="V25" s="311"/>
      <c r="W25" s="311"/>
      <c r="X25" s="311"/>
      <c r="Y25" s="311"/>
      <c r="Z25" s="311"/>
      <c r="AA25" s="311"/>
      <c r="AB25" s="311"/>
    </row>
    <row r="26" spans="1:28">
      <c r="A26" s="134"/>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11"/>
      <c r="AB26" s="311"/>
    </row>
    <row r="27" spans="1:28">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c r="AA27" s="311"/>
      <c r="AB27" s="311"/>
    </row>
    <row r="30" spans="1:28">
      <c r="A30" t="s" s="308">
        <v>230</v>
      </c>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row>
    <row r="33" spans="1:28">
      <c r="A33" t="s" s="309">
        <v>267</v>
      </c>
      <c r="B33" s="309"/>
      <c r="C33" s="309"/>
      <c r="D33" s="309"/>
      <c r="E33" s="309"/>
      <c r="F33" s="309"/>
      <c r="G33" s="309"/>
      <c r="H33" s="309"/>
      <c r="I33" s="309"/>
      <c r="J33" s="309"/>
      <c r="K33" s="309"/>
      <c r="L33" s="309"/>
      <c r="M33" s="309"/>
      <c r="N33" s="309"/>
      <c r="O33" s="309"/>
      <c r="P33" s="309"/>
      <c r="Q33" s="309"/>
      <c r="R33" s="309"/>
      <c r="S33" s="309"/>
      <c r="T33" s="309"/>
      <c r="U33" s="309"/>
      <c r="V33" s="309"/>
      <c r="W33" s="309"/>
      <c r="X33" s="309"/>
      <c r="Y33" s="309"/>
      <c r="Z33" s="309"/>
      <c r="AA33" s="309"/>
      <c r="AB33" s="309"/>
    </row>
    <row r="34" spans="1:28">
      <c r="A34" t="s" s="308">
        <v>231</v>
      </c>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row>
    <row r="35" spans="1:28">
      <c r="A35" t="s" s="310">
        <v>232</v>
      </c>
      <c r="B35" s="310"/>
      <c r="C35" s="310"/>
      <c r="D35" s="310"/>
      <c r="E35" s="310"/>
      <c r="F35" s="310"/>
      <c r="G35" s="310"/>
      <c r="H35" s="310"/>
      <c r="I35" s="310"/>
      <c r="J35" s="310"/>
      <c r="K35" s="310"/>
      <c r="L35" s="310"/>
      <c r="M35" s="310"/>
      <c r="N35" s="310"/>
      <c r="O35" s="310"/>
      <c r="P35" s="310"/>
      <c r="Q35" s="310"/>
      <c r="R35" s="310"/>
      <c r="S35" s="310"/>
      <c r="T35" s="310"/>
      <c r="U35" s="310"/>
      <c r="V35" s="310"/>
      <c r="W35" s="310"/>
      <c r="X35" s="310"/>
      <c r="Y35" s="310"/>
      <c r="Z35" s="310"/>
      <c r="AA35" s="310"/>
      <c r="AB35" s="310"/>
    </row>
    <row r="38" spans="1:28" s="134" customFormat="1" ht="14"/>
    <row r="39" spans="1:28" s="134" customFormat="1" ht="14">
      <c r="B39" t="s" s="179">
        <v>235</v>
      </c>
      <c r="S39" t="s" s="179">
        <v>175</v>
      </c>
    </row>
    <row r="40" spans="1:28" s="134" customFormat="1" ht="14"/>
    <row r="41" spans="1:28" s="134" customFormat="1" ht="14">
      <c r="E41" s="159"/>
      <c r="V41" s="159"/>
    </row>
    <row r="42" spans="1:28" s="134" customFormat="1" ht="14">
      <c r="E42" s="159"/>
      <c r="F42" t="s" s="164">
        <v>108</v>
      </c>
      <c r="V42" s="159"/>
      <c r="W42" t="s" s="164">
        <v>233</v>
      </c>
    </row>
    <row r="43" spans="1:28" s="134" customFormat="1" ht="14">
      <c r="F43" t="s" s="165">
        <v>261</v>
      </c>
      <c r="W43" t="s" s="165">
        <v>234</v>
      </c>
    </row>
    <row r="44" spans="1:28" s="134" customFormat="1" ht="14">
      <c r="F44" t="s" s="178">
        <v>215</v>
      </c>
      <c r="N44" s="163"/>
      <c r="W44" t="s" s="178">
        <v>215</v>
      </c>
    </row>
    <row r="45" spans="1:28" s="134" customFormat="1" ht="14">
      <c r="N45" s="163"/>
    </row>
    <row r="46" spans="1:28" s="134" customFormat="1" ht="14">
      <c r="N46" s="163"/>
    </row>
    <row r="47" spans="1:28" s="134" customFormat="1" ht="14">
      <c r="N47" s="163"/>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5" spans="14:14" s="134" customFormat="1" ht="14"/>
    <row r="56" spans="14:14" s="134" customFormat="1" ht="14"/>
  </sheetData>
  <mergeCells count="16">
    <mergeCell ref="A30:AB30"/>
    <mergeCell ref="A33:AB33"/>
    <mergeCell ref="A34:AB34"/>
    <mergeCell ref="A35:AB35"/>
    <mergeCell ref="A10:AB11"/>
    <mergeCell ref="A13:AB14"/>
    <mergeCell ref="D16:AB17"/>
    <mergeCell ref="D19:AB19"/>
    <mergeCell ref="D21:AB21"/>
    <mergeCell ref="C25:AB27"/>
    <mergeCell ref="D23:AB23"/>
    <mergeCell ref="A1:AB1"/>
    <mergeCell ref="A2:AB2"/>
    <mergeCell ref="A3:AB3"/>
    <mergeCell ref="A4:AB4"/>
    <mergeCell ref="A8:AB8"/>
  </mergeCells>
  <printOptions horizontalCentered="1"/>
  <pageMargins left="0.25" right="0.25" top="0.25" bottom="0.25" header="0.3" footer="0.3"/>
  <pageSetup paperSize="9" scale="97" orientation="portrait" r:id="rId1"/>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FA10-4E9C-4049-9FE8-4D24F9F01AC2}">
  <sheetPr>
    <pageSetUpPr fitToPage="1"/>
  </sheetPr>
  <sheetViews>
    <sheetView view="pageBreakPreview" zoomScale="85" zoomScaleNormal="145" zoomScaleSheetLayoutView="85" workbookViewId="0">
      <selection activeCell="A11" sqref="A11:J11"/>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45.75" customHeight="1"/>
    <row r="2" spans="1:28" ht="18">
      <c r="A2" t="s" s="314">
        <v>241</v>
      </c>
      <c r="B2" s="314"/>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row>
    <row r="3" spans="1:28" ht="19">
      <c r="A3" s="180"/>
      <c r="B3" s="180"/>
      <c r="C3" s="180"/>
      <c r="D3" s="180"/>
      <c r="E3" s="180"/>
      <c r="F3" s="180"/>
      <c r="G3" s="180"/>
      <c r="H3" s="180"/>
      <c r="I3" s="180"/>
      <c r="J3" s="180"/>
      <c r="K3" s="180"/>
      <c r="L3" s="181"/>
      <c r="M3" s="180"/>
      <c r="N3" s="180"/>
      <c r="O3" s="180"/>
      <c r="P3" s="180"/>
      <c r="Q3" s="180"/>
      <c r="R3" s="180"/>
      <c r="S3" s="180"/>
      <c r="T3" s="180"/>
      <c r="U3" s="180"/>
      <c r="V3" s="180"/>
      <c r="W3" s="180"/>
      <c r="X3" s="180"/>
      <c r="Y3" s="181"/>
      <c r="Z3" s="180"/>
      <c r="AA3" s="180"/>
      <c r="AB3" s="180"/>
    </row>
    <row r="4" spans="1:28" ht="19">
      <c r="A4" s="180"/>
      <c r="B4" s="180"/>
      <c r="C4" s="180"/>
      <c r="D4" s="180"/>
      <c r="E4" s="180"/>
      <c r="F4" s="180"/>
      <c r="G4" s="180"/>
      <c r="H4" s="180"/>
      <c r="I4" s="180"/>
      <c r="J4" s="180"/>
      <c r="K4" s="180"/>
      <c r="L4" s="181"/>
      <c r="M4" s="180"/>
      <c r="N4" s="180"/>
      <c r="O4" s="180"/>
      <c r="P4" s="180"/>
      <c r="Q4" s="180"/>
      <c r="R4" s="180"/>
      <c r="S4" s="180"/>
      <c r="T4" s="180"/>
      <c r="U4" s="180"/>
      <c r="V4" s="180"/>
      <c r="W4" s="180"/>
      <c r="X4" s="180"/>
      <c r="Y4" s="181"/>
      <c r="Z4" s="180"/>
      <c r="AA4" s="180"/>
      <c r="AB4" s="180"/>
    </row>
    <row r="5" spans="1:28" ht="18">
      <c r="A5" t="s" s="319">
        <v>242</v>
      </c>
      <c r="B5" s="319"/>
      <c r="C5" s="319"/>
      <c r="D5" s="319"/>
      <c r="E5" s="319"/>
      <c r="F5" s="319"/>
      <c r="G5" s="319"/>
      <c r="H5" s="319"/>
      <c r="I5" s="319"/>
      <c r="J5" s="319"/>
      <c r="K5" s="319"/>
      <c r="L5" s="319"/>
      <c r="M5" s="319"/>
      <c r="N5" s="319"/>
      <c r="O5" s="319"/>
      <c r="P5" s="319"/>
      <c r="Q5" s="319"/>
      <c r="R5" s="319"/>
      <c r="S5" s="319"/>
      <c r="T5" s="319"/>
      <c r="U5" s="319"/>
      <c r="V5" s="319"/>
      <c r="W5" s="319"/>
      <c r="X5" s="319"/>
      <c r="Y5" s="319"/>
      <c r="Z5" s="319"/>
      <c r="AA5" s="319"/>
      <c r="AB5" s="319"/>
    </row>
    <row r="6" spans="1:28" ht="19">
      <c r="A6" s="180"/>
      <c r="B6" s="180"/>
      <c r="C6" s="180"/>
      <c r="D6" s="180"/>
      <c r="E6" s="180"/>
      <c r="F6" s="180"/>
      <c r="G6" s="180"/>
      <c r="H6" s="180"/>
      <c r="I6" s="180"/>
      <c r="J6" s="180"/>
      <c r="K6" s="180"/>
      <c r="L6" s="180"/>
      <c r="M6" s="180"/>
      <c r="N6" s="180"/>
      <c r="O6" s="180"/>
      <c r="P6" s="180"/>
      <c r="Q6" s="180"/>
      <c r="R6" s="180"/>
      <c r="S6" s="180"/>
      <c r="T6" s="180"/>
      <c r="U6" s="180"/>
      <c r="V6" s="180"/>
      <c r="W6" s="180"/>
      <c r="X6" s="180"/>
      <c r="Y6" s="180"/>
      <c r="Z6" s="180"/>
      <c r="AA6" s="180"/>
      <c r="AB6" s="180"/>
    </row>
    <row r="7" spans="1:28" ht="18">
      <c r="A7" t="s" s="315">
        <v>243</v>
      </c>
      <c r="B7" s="315"/>
      <c r="C7" s="315"/>
      <c r="D7" s="315"/>
      <c r="E7" s="315"/>
      <c r="F7" s="315"/>
      <c r="G7" s="315"/>
      <c r="H7" s="315"/>
      <c r="I7" s="315"/>
      <c r="J7" s="315"/>
      <c r="K7" s="315"/>
      <c r="L7" s="315"/>
      <c r="M7" s="315"/>
      <c r="N7" s="315"/>
      <c r="O7" s="315"/>
      <c r="P7" s="315"/>
      <c r="Q7" s="315"/>
      <c r="R7" s="315"/>
      <c r="S7" s="315"/>
      <c r="T7" s="315"/>
      <c r="U7" s="315"/>
      <c r="V7" s="315"/>
      <c r="W7" s="315"/>
      <c r="X7" s="315"/>
      <c r="Y7" s="315"/>
      <c r="Z7" s="315"/>
      <c r="AA7" s="315"/>
      <c r="AB7" s="315"/>
    </row>
    <row r="8" spans="1:28" ht="19">
      <c r="A8" s="180"/>
      <c r="B8" s="180"/>
      <c r="C8" s="180"/>
      <c r="D8" s="180"/>
      <c r="E8" s="180"/>
      <c r="F8" s="180"/>
      <c r="G8" s="180"/>
      <c r="H8" s="180"/>
      <c r="I8" s="180"/>
      <c r="J8" s="180"/>
      <c r="K8" s="180"/>
      <c r="L8" s="180"/>
      <c r="M8" s="180"/>
      <c r="N8" s="180"/>
      <c r="O8" s="180"/>
      <c r="P8" s="180"/>
      <c r="Q8" s="180"/>
      <c r="R8" s="180"/>
      <c r="S8" s="180"/>
      <c r="T8" s="180"/>
      <c r="U8" s="180"/>
      <c r="V8" s="180"/>
      <c r="W8" s="180"/>
      <c r="X8" s="180"/>
      <c r="Y8" s="180"/>
      <c r="Z8" s="180"/>
      <c r="AA8" s="180"/>
      <c r="AB8" s="180"/>
    </row>
    <row r="9" spans="1:28">
      <c r="A9" t="s" s="316">
        <v>244</v>
      </c>
      <c r="B9" s="316"/>
      <c r="C9" s="316"/>
      <c r="D9" s="316"/>
      <c r="E9" s="316"/>
      <c r="F9" s="316"/>
      <c r="G9" s="316"/>
      <c r="H9" s="316"/>
      <c r="I9" s="316"/>
      <c r="J9" s="316"/>
      <c r="K9" t="s" s="316">
        <v>245</v>
      </c>
      <c r="L9" s="316"/>
      <c r="M9" s="316"/>
      <c r="N9" s="316"/>
      <c r="O9" s="316"/>
      <c r="P9" s="316"/>
      <c r="Q9" s="316"/>
      <c r="R9" s="316"/>
      <c r="S9" s="316"/>
      <c r="T9" s="316"/>
      <c r="U9" s="316"/>
      <c r="V9" t="s" s="316">
        <v>246</v>
      </c>
      <c r="W9" s="316"/>
      <c r="X9" s="316"/>
      <c r="Y9" s="316"/>
      <c r="Z9" s="316"/>
      <c r="AA9" s="316"/>
      <c r="AB9" s="316"/>
    </row>
    <row r="10" spans="1:28">
      <c r="A10" s="316"/>
      <c r="B10" s="316"/>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row>
    <row r="11" spans="1:28" ht="19">
      <c r="A11" s="317">
        <f>IF(ISNUMBER('00 ACC DETAILS 01'!G5),'00 ACC DETAILS 01'!G4&amp;" "&amp;'00 ACC DETAILS 01'!G6,'00 ACC DETAILS 01'!G4&amp;" "&amp;'00 ACC DETAILS 01'!G5&amp;" "&amp;'00 ACC DETAILS 01'!G6)</f>
      </c>
      <c r="B11" s="317"/>
      <c r="C11" s="317"/>
      <c r="D11" s="317"/>
      <c r="E11" s="317"/>
      <c r="F11" s="317"/>
      <c r="G11" s="317"/>
      <c r="H11" s="317"/>
      <c r="I11" s="317"/>
      <c r="J11" s="317"/>
      <c r="K11" s="318"/>
      <c r="L11" s="318"/>
      <c r="M11" s="318"/>
      <c r="N11" s="318"/>
      <c r="O11" s="318"/>
      <c r="P11" s="318"/>
      <c r="Q11" s="318"/>
      <c r="R11" s="318"/>
      <c r="S11" s="318"/>
      <c r="T11" s="318"/>
      <c r="U11" s="318"/>
      <c r="V11" s="318"/>
      <c r="W11" s="318"/>
      <c r="X11" s="318"/>
      <c r="Y11" s="318"/>
      <c r="Z11" s="318"/>
      <c r="AA11" s="318"/>
      <c r="AB11" s="318"/>
    </row>
    <row r="12" spans="1:28" ht="19">
      <c r="A12" s="318"/>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318"/>
      <c r="AB12" s="318"/>
    </row>
    <row r="13" spans="1:28" ht="19">
      <c r="A13" s="318"/>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318"/>
      <c r="AB13" s="318"/>
    </row>
    <row r="14" spans="1:28" ht="19">
      <c r="A14" s="318"/>
      <c r="B14" s="318"/>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c r="AA14" s="318"/>
      <c r="AB14" s="318"/>
    </row>
    <row r="15" spans="1:28" ht="19">
      <c r="A15" s="318"/>
      <c r="B15" s="318"/>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row>
    <row r="16" spans="1:28" s="134" customFormat="1" ht="18">
      <c r="A16" s="182"/>
      <c r="B16" s="182"/>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row>
    <row r="17" spans="1:28" s="134" customFormat="1" ht="45" customHeight="1">
      <c r="A17" t="s" s="320">
        <v>247</v>
      </c>
      <c r="B17" s="320"/>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c r="AA17" s="320"/>
      <c r="AB17" s="320"/>
    </row>
    <row r="18" spans="1:28" s="134" customFormat="1" ht="14">
      <c r="A18" s="320"/>
      <c r="B18" s="320"/>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c r="AA18" s="320"/>
      <c r="AB18" s="320"/>
    </row>
    <row r="19" spans="1:28" s="134" customFormat="1" ht="14">
      <c r="A19" s="320"/>
      <c r="B19" s="320"/>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c r="AA19" s="320"/>
      <c r="AB19" s="320"/>
    </row>
    <row r="20" spans="1:28" s="134" customFormat="1" ht="18">
      <c r="A20" s="182"/>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row>
    <row r="21" spans="1:28" s="134" customFormat="1" ht="18">
      <c r="A21" s="182"/>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row>
    <row r="22" spans="1:28" s="134" customFormat="1" ht="14">
      <c r="A22" t="s" s="313">
        <v>248</v>
      </c>
      <c r="B22" s="313"/>
      <c r="C22" s="313"/>
      <c r="D22" s="313"/>
      <c r="E22" s="313"/>
      <c r="F22" s="313"/>
      <c r="G22" s="313"/>
      <c r="H22" s="313"/>
      <c r="I22" s="313"/>
      <c r="J22" s="313"/>
      <c r="K22" s="313"/>
      <c r="L22" s="313"/>
      <c r="M22" s="313"/>
      <c r="N22" s="313"/>
      <c r="O22" s="313"/>
      <c r="P22" s="313"/>
      <c r="Q22" s="313"/>
      <c r="R22" s="313"/>
      <c r="S22" s="313"/>
      <c r="T22" s="313"/>
      <c r="U22" s="313"/>
      <c r="V22" s="313"/>
      <c r="W22" s="313"/>
      <c r="X22" s="313"/>
      <c r="Y22" s="313"/>
      <c r="Z22" s="313"/>
      <c r="AA22" s="313"/>
      <c r="AB22" s="313"/>
    </row>
    <row r="23" spans="1:28" s="134" customFormat="1" ht="23.25" customHeight="1">
      <c r="A23" s="313"/>
      <c r="B23" s="313"/>
      <c r="C23" s="313"/>
      <c r="D23" s="313"/>
      <c r="E23" s="313"/>
      <c r="F23" s="313"/>
      <c r="G23" s="313"/>
      <c r="H23" s="313"/>
      <c r="I23" s="313"/>
      <c r="J23" s="313"/>
      <c r="K23" s="313"/>
      <c r="L23" s="313"/>
      <c r="M23" s="313"/>
      <c r="N23" s="313"/>
      <c r="O23" s="313"/>
      <c r="P23" s="313"/>
      <c r="Q23" s="313"/>
      <c r="R23" s="313"/>
      <c r="S23" s="313"/>
      <c r="T23" s="313"/>
      <c r="U23" s="313"/>
      <c r="V23" s="313"/>
      <c r="W23" s="313"/>
      <c r="X23" s="313"/>
      <c r="Y23" s="313"/>
      <c r="Z23" s="313"/>
      <c r="AA23" s="313"/>
      <c r="AB23" s="313"/>
    </row>
    <row r="24" spans="1:28" ht="19">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row>
    <row r="25" spans="1:28" ht="19">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row>
    <row r="26" spans="1:28" ht="19">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row>
    <row r="27" spans="1:28" ht="19">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row>
    <row r="28" spans="1:28" ht="19">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row>
    <row r="29" spans="1:28" ht="19">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row>
    <row r="30" spans="1:28" ht="19">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row>
    <row r="31" spans="1:28" ht="19">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row>
    <row r="32" spans="1:28" ht="19">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row>
    <row r="33" spans="1:28" ht="19">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row>
    <row r="34" spans="1:28" ht="19">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t="s" s="183">
        <v>249</v>
      </c>
    </row>
    <row r="35" spans="1:28" ht="19">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row>
    <row r="36" spans="1:28" ht="19">
      <c r="A36" t="s" s="182">
        <v>250</v>
      </c>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row>
    <row r="37" spans="1:28" ht="19">
      <c r="A37" t="s" s="182">
        <v>251</v>
      </c>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row>
    <row r="38" spans="1:28" ht="19">
      <c r="A38" t="s" s="182">
        <v>252</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row>
    <row r="39" spans="1:28" ht="19">
      <c r="A39" t="s" s="182">
        <v>253</v>
      </c>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row>
    <row r="40" spans="1:28" ht="19">
      <c r="B40" s="180"/>
      <c r="C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row>
    <row r="47" spans="1:28" s="134" customFormat="1" ht="14">
      <c r="F47" s="178"/>
      <c r="N47" s="163"/>
      <c r="W47" s="178"/>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5" spans="14:14" s="134" customFormat="1" ht="14">
      <c r="N55" s="163"/>
    </row>
    <row r="58" spans="14:14" s="134" customFormat="1" ht="14"/>
    <row r="59" spans="14:14" s="134" customFormat="1" ht="14"/>
  </sheetData>
  <mergeCells count="23">
    <mergeCell ref="V15:AB15"/>
    <mergeCell ref="A13:J13"/>
    <mergeCell ref="K13:U13"/>
    <mergeCell ref="V13:AB13"/>
    <mergeCell ref="A14:J14"/>
    <mergeCell ref="K14:U14"/>
    <mergeCell ref="V14:AB14"/>
    <mergeCell ref="A22:AB23"/>
    <mergeCell ref="A2:AB2"/>
    <mergeCell ref="A7:AB7"/>
    <mergeCell ref="A9:J10"/>
    <mergeCell ref="K9:U10"/>
    <mergeCell ref="V9:AB10"/>
    <mergeCell ref="A11:J11"/>
    <mergeCell ref="K11:U11"/>
    <mergeCell ref="A5:AB5"/>
    <mergeCell ref="V11:AB11"/>
    <mergeCell ref="A12:J12"/>
    <mergeCell ref="K12:U12"/>
    <mergeCell ref="V12:AB12"/>
    <mergeCell ref="A17:AB19"/>
    <mergeCell ref="A15:J15"/>
    <mergeCell ref="K15:U15"/>
  </mergeCells>
  <printOptions horizontalCentered="1"/>
  <pageMargins left="0.25" right="0.25" top="0.25" bottom="0.25" header="0.3" footer="0.3"/>
  <pageSetup paperSize="9" scale="97" orientation="portrait" r:id="rId1"/>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5A48-B31A-47D4-B9F2-EFA225C00460}">
  <sheetPr>
    <pageSetUpPr fitToPage="1"/>
  </sheetPr>
  <sheetViews>
    <sheetView view="pageBreakPreview" zoomScale="85" zoomScaleNormal="145" zoomScaleSheetLayoutView="85" workbookViewId="0">
      <selection activeCell="AD57" sqref="AD57"/>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8" ht="18.75" customHeight="1">
      <c r="A1" t="s" s="282">
        <v>262</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row>
    <row r="2" spans="1:28" ht="18.75" customHeight="1">
      <c r="A2" t="s" s="281">
        <v>263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row>
    <row r="3" spans="1:28" ht="18.75" customHeight="1">
      <c r="A3" t="s" s="280">
        <v>264</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row>
    <row r="4" spans="1:28" ht="18.75" customHeight="1">
      <c r="A4" t="s" s="280">
        <v>265</v>
      </c>
      <c r="B4" s="28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row>
    <row r="6" spans="1:28">
      <c r="L6" s="158"/>
      <c r="Y6" t="s" s="158">
        <v>236</v>
      </c>
    </row>
    <row r="7" spans="1:28" ht="16" thickBot="1">
      <c r="L7" s="158"/>
      <c r="Y7" s="158"/>
    </row>
    <row r="8" spans="1:28" ht="45" customHeight="1" thickBot="1">
      <c r="A8" t="s" s="305">
        <v>259</v>
      </c>
      <c r="B8" s="306"/>
      <c r="C8" s="306"/>
      <c r="D8" s="306"/>
      <c r="E8" s="306"/>
      <c r="F8" s="306"/>
      <c r="G8" s="306"/>
      <c r="H8" s="306"/>
      <c r="I8" s="306"/>
      <c r="J8" s="306"/>
      <c r="K8" s="306"/>
      <c r="L8" s="306"/>
      <c r="M8" s="306"/>
      <c r="N8" s="306"/>
      <c r="O8" s="306"/>
      <c r="P8" s="306"/>
      <c r="Q8" s="306"/>
      <c r="R8" s="306"/>
      <c r="S8" s="306"/>
      <c r="T8" s="306"/>
      <c r="U8" s="306"/>
      <c r="V8" s="306"/>
      <c r="W8" s="306"/>
      <c r="X8" s="306"/>
      <c r="Y8" s="306"/>
      <c r="Z8" s="306"/>
      <c r="AA8" s="306"/>
      <c r="AB8" s="307"/>
    </row>
    <row r="10" spans="1:28" ht="15" customHeight="1">
      <c r="A10" t="s" s="311">
        <v>296</v>
      </c>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c r="AA10" s="311"/>
      <c r="AB10" s="311"/>
    </row>
    <row r="11" spans="1:28">
      <c r="A11" s="311"/>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c r="AA11" s="311"/>
      <c r="AB11" s="311"/>
    </row>
    <row r="12" spans="1:28">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311"/>
    </row>
    <row r="13" spans="1:28" ht="15" customHeight="1">
      <c r="A13" s="177"/>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row>
    <row r="14" spans="1:28" ht="15" customHeight="1">
      <c r="A14" t="s" s="311">
        <v>228</v>
      </c>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11"/>
      <c r="AB14" s="311"/>
    </row>
    <row r="15" spans="1:28" ht="15" customHeight="1">
      <c r="A15" s="311"/>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c r="AA15" s="311"/>
      <c r="AB15" s="311"/>
    </row>
    <row r="16" spans="1:28">
      <c r="A16" s="134"/>
      <c r="B16" s="134"/>
      <c r="C16" s="134"/>
    </row>
    <row r="17" spans="1:28" s="134" customFormat="1" ht="14">
      <c r="C17" t="s" s="177">
        <v>219</v>
      </c>
      <c r="D17" t="s" s="312">
        <v>237</v>
      </c>
      <c r="E17" s="312"/>
      <c r="F17" s="312"/>
      <c r="G17" s="312"/>
      <c r="H17" s="312"/>
      <c r="I17" s="312"/>
      <c r="J17" s="312"/>
      <c r="K17" s="312"/>
      <c r="L17" s="312"/>
      <c r="M17" s="312"/>
      <c r="N17" s="312"/>
      <c r="O17" s="312"/>
      <c r="P17" s="312"/>
      <c r="Q17" s="312"/>
      <c r="R17" s="312"/>
      <c r="S17" s="312"/>
      <c r="T17" s="312"/>
      <c r="U17" s="312"/>
      <c r="V17" s="312"/>
      <c r="W17" s="312"/>
      <c r="X17" s="312"/>
      <c r="Y17" s="312"/>
      <c r="Z17" s="312"/>
      <c r="AA17" s="312"/>
      <c r="AB17" s="312"/>
    </row>
    <row r="18" spans="1:28" s="134" customFormat="1" ht="14">
      <c r="D18" s="312"/>
      <c r="E18" s="312"/>
      <c r="F18" s="312"/>
      <c r="G18" s="312"/>
      <c r="H18" s="312"/>
      <c r="I18" s="312"/>
      <c r="J18" s="312"/>
      <c r="K18" s="312"/>
      <c r="L18" s="312"/>
      <c r="M18" s="312"/>
      <c r="N18" s="312"/>
      <c r="O18" s="312"/>
      <c r="P18" s="312"/>
      <c r="Q18" s="312"/>
      <c r="R18" s="312"/>
      <c r="S18" s="312"/>
      <c r="T18" s="312"/>
      <c r="U18" s="312"/>
      <c r="V18" s="312"/>
      <c r="W18" s="312"/>
      <c r="X18" s="312"/>
      <c r="Y18" s="312"/>
      <c r="Z18" s="312"/>
      <c r="AA18" s="312"/>
      <c r="AB18" s="312"/>
    </row>
    <row r="19" spans="1:28" s="134" customFormat="1" ht="14"/>
    <row r="20" spans="1:28" s="134" customFormat="1" ht="15" customHeight="1">
      <c r="C20" t="s" s="177">
        <v>223</v>
      </c>
      <c r="D20" t="s" s="312">
        <v>221</v>
      </c>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row>
    <row r="21" spans="1:28" s="134" customFormat="1" ht="14"/>
    <row r="22" spans="1:28" s="134" customFormat="1" ht="14">
      <c r="C22" t="s" s="177">
        <v>224</v>
      </c>
      <c r="D22" t="s" s="312">
        <v>222</v>
      </c>
      <c r="E22" s="312"/>
      <c r="F22" s="312"/>
      <c r="G22" s="312"/>
      <c r="H22" s="312"/>
      <c r="I22" s="312"/>
      <c r="J22" s="312"/>
      <c r="K22" s="312"/>
      <c r="L22" s="312"/>
      <c r="M22" s="312"/>
      <c r="N22" s="312"/>
      <c r="O22" s="312"/>
      <c r="P22" s="312"/>
      <c r="Q22" s="312"/>
      <c r="R22" s="312"/>
      <c r="S22" s="312"/>
      <c r="T22" s="312"/>
      <c r="U22" s="312"/>
      <c r="V22" s="312"/>
      <c r="W22" s="312"/>
      <c r="X22" s="312"/>
      <c r="Y22" s="312"/>
      <c r="Z22" s="312"/>
      <c r="AA22" s="312"/>
      <c r="AB22" s="312"/>
    </row>
    <row r="23" spans="1:28" s="134" customFormat="1" ht="14"/>
    <row r="24" spans="1:28" s="134" customFormat="1" ht="14">
      <c r="C24" t="s" s="177">
        <v>226</v>
      </c>
      <c r="D24" t="s" s="312">
        <v>225</v>
      </c>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row>
    <row r="25" spans="1:28" s="134" customFormat="1" ht="14"/>
    <row r="26" spans="1:28" ht="15" customHeight="1">
      <c r="A26" t="s" s="311">
        <v>238</v>
      </c>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c r="AA26" s="311"/>
      <c r="AB26" s="311"/>
    </row>
    <row r="27" spans="1:28" ht="15" customHeight="1">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c r="AA27" s="177"/>
      <c r="AB27" s="177"/>
    </row>
    <row r="28" spans="1:28" ht="15" customHeight="1">
      <c r="A28" t="s" s="311">
        <v>239</v>
      </c>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c r="AA28" s="311"/>
      <c r="AB28" s="311"/>
    </row>
    <row r="29" spans="1:28">
      <c r="A29" s="311"/>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c r="AA29" s="311"/>
      <c r="AB29" s="311"/>
    </row>
    <row r="32" spans="1:28">
      <c r="A32" t="s" s="309">
        <v>268</v>
      </c>
      <c r="B32" s="309"/>
      <c r="C32" s="309"/>
      <c r="D32" s="309"/>
      <c r="E32" s="309"/>
      <c r="F32" s="309"/>
      <c r="G32" s="309"/>
      <c r="H32" s="309"/>
      <c r="I32" s="309"/>
      <c r="J32" s="309"/>
      <c r="K32" s="309"/>
      <c r="L32" s="309"/>
      <c r="M32" s="309"/>
      <c r="N32" s="309"/>
      <c r="O32" s="309"/>
      <c r="P32" s="309"/>
      <c r="Q32" s="309"/>
      <c r="R32" s="309"/>
      <c r="S32" s="309"/>
      <c r="T32" s="309"/>
      <c r="U32" s="309"/>
      <c r="V32" s="309"/>
      <c r="W32" s="309"/>
      <c r="X32" s="309"/>
      <c r="Y32" s="309"/>
      <c r="Z32" s="309"/>
      <c r="AA32" s="309"/>
      <c r="AB32" s="309"/>
    </row>
    <row r="33" spans="1:28">
      <c r="A33" t="s" s="322">
        <v>231</v>
      </c>
      <c r="B33" s="322"/>
      <c r="C33" s="322"/>
      <c r="D33" s="322"/>
      <c r="E33" s="322"/>
      <c r="F33" s="322"/>
      <c r="G33" s="322"/>
      <c r="H33" s="322"/>
      <c r="I33" s="322"/>
      <c r="J33" s="322"/>
      <c r="K33" s="322"/>
      <c r="L33" s="322"/>
      <c r="M33" s="322"/>
      <c r="N33" s="322"/>
      <c r="O33" s="322"/>
      <c r="P33" s="322"/>
      <c r="Q33" s="322"/>
      <c r="R33" s="322"/>
      <c r="S33" s="322"/>
      <c r="T33" s="322"/>
      <c r="U33" s="322"/>
      <c r="V33" s="322"/>
      <c r="W33" s="322"/>
      <c r="X33" s="322"/>
      <c r="Y33" s="322"/>
      <c r="Z33" s="322"/>
      <c r="AA33" s="322"/>
      <c r="AB33" s="322"/>
    </row>
    <row r="34" spans="1:28">
      <c r="A34" t="s" s="321">
        <v>232</v>
      </c>
      <c r="B34" s="321"/>
      <c r="C34" s="321"/>
      <c r="D34" s="321"/>
      <c r="E34" s="321"/>
      <c r="F34" s="321"/>
      <c r="G34" s="321"/>
      <c r="H34" s="321"/>
      <c r="I34" s="321"/>
      <c r="J34" s="321"/>
      <c r="K34" s="321"/>
      <c r="L34" s="321"/>
      <c r="M34" s="321"/>
      <c r="N34" s="321"/>
      <c r="O34" s="321"/>
      <c r="P34" s="321"/>
      <c r="Q34" s="321"/>
      <c r="R34" s="321"/>
      <c r="S34" s="321"/>
      <c r="T34" s="321"/>
      <c r="U34" s="321"/>
      <c r="V34" s="321"/>
      <c r="W34" s="321"/>
      <c r="X34" s="321"/>
      <c r="Y34" s="321"/>
      <c r="Z34" s="321"/>
      <c r="AA34" s="321"/>
      <c r="AB34" s="321"/>
    </row>
    <row r="40" spans="1:28" s="134" customFormat="1" ht="14"/>
    <row r="41" spans="1:28" s="134" customFormat="1" ht="14">
      <c r="B41" s="179"/>
      <c r="S41" s="179"/>
    </row>
    <row r="42" spans="1:28" s="134" customFormat="1" ht="14"/>
    <row r="43" spans="1:28" s="134" customFormat="1" ht="14">
      <c r="E43" s="159"/>
      <c r="V43" s="159"/>
    </row>
    <row r="44" spans="1:28" s="134" customFormat="1" ht="14">
      <c r="E44" s="159"/>
      <c r="F44" s="164"/>
      <c r="V44" s="159"/>
      <c r="W44" s="164"/>
    </row>
    <row r="45" spans="1:28" s="134" customFormat="1" ht="14">
      <c r="F45" s="165"/>
      <c r="W45" s="165"/>
    </row>
    <row r="46" spans="1:28" s="134" customFormat="1" ht="14">
      <c r="F46" s="178"/>
      <c r="N46" s="163"/>
      <c r="W46" s="178"/>
    </row>
    <row r="47" spans="1:28" s="134" customFormat="1" ht="14">
      <c r="N47" s="163"/>
    </row>
    <row r="48" spans="1:28"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7" spans="14:14" s="134" customFormat="1" ht="14"/>
    <row r="58" spans="14:14" s="134" customFormat="1" ht="14"/>
  </sheetData>
  <mergeCells count="16">
    <mergeCell ref="A1:AB1"/>
    <mergeCell ref="A2:AB2"/>
    <mergeCell ref="A3:AB3"/>
    <mergeCell ref="A4:AB4"/>
    <mergeCell ref="A34:AB34"/>
    <mergeCell ref="A8:AB8"/>
    <mergeCell ref="D17:AB18"/>
    <mergeCell ref="A10:AB12"/>
    <mergeCell ref="D20:AB20"/>
    <mergeCell ref="D22:AB22"/>
    <mergeCell ref="A14:AB15"/>
    <mergeCell ref="D24:AB24"/>
    <mergeCell ref="A26:AB26"/>
    <mergeCell ref="A28:AB29"/>
    <mergeCell ref="A32:AB32"/>
    <mergeCell ref="A33:AB33"/>
  </mergeCells>
  <printOptions horizontalCentered="1"/>
  <pageMargins left="0.70866141732283472" right="0.70866141732283472" top="0.48" bottom="0.22" header="0.31496062992125984" footer="0.21"/>
  <pageSetup paperSize="9" scale="86" fitToHeight="2" orientation="portrait" r:id="rId1"/>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392D-DC46-4E58-9182-C0B967564F65}">
  <sheetPr>
    <pageSetUpPr fitToPage="1"/>
  </sheetPr>
  <sheetViews>
    <sheetView view="pageBreakPreview" zoomScale="85" zoomScaleNormal="145" zoomScaleSheetLayoutView="85" workbookViewId="0">
      <selection activeCell="R31" sqref="R31"/>
    </sheetView>
  </sheetViews>
  <sheetFormatPr baseColWidth="10" defaultColWidth="8.83203125" defaultRowHeight="15"/>
  <cols>
    <col min="1" max="10" width="3.33203125" customWidth="1"/>
    <col min="11" max="11" width="3.6640625" customWidth="1"/>
    <col min="12" max="12" width="3.33203125" customWidth="1"/>
    <col min="13" max="13" width="4.83203125" customWidth="1"/>
    <col min="14" max="15" width="3.33203125" customWidth="1"/>
    <col min="16" max="16" width="2.5" customWidth="1"/>
    <col min="17" max="17" width="3.33203125" customWidth="1"/>
    <col min="18" max="18" width="4" customWidth="1"/>
    <col min="19" max="28" width="3.33203125" customWidth="1"/>
  </cols>
  <sheetData>
    <row r="1" spans="1:29" ht="18" customHeight="1">
      <c r="A1" t="s" s="282">
        <v>262</v>
      </c>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row>
    <row r="2" spans="1:29" ht="18" customHeight="1">
      <c r="A2" t="s" s="281">
        <v>263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row>
    <row r="3" spans="1:29" ht="18" customHeight="1">
      <c r="A3" t="s" s="280">
        <v>264</v>
      </c>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row>
    <row r="4" spans="1:29">
      <c r="A4" t="s" s="280">
        <v>265</v>
      </c>
      <c r="B4" s="280"/>
      <c r="C4" s="280"/>
      <c r="D4" s="280"/>
      <c r="E4" s="280"/>
      <c r="F4" s="280"/>
      <c r="G4" s="280"/>
      <c r="H4" s="280"/>
      <c r="I4" s="280"/>
      <c r="J4" s="280"/>
      <c r="K4" s="280"/>
      <c r="L4" s="280"/>
      <c r="M4" s="280"/>
      <c r="N4" s="280"/>
      <c r="O4" s="280"/>
      <c r="P4" s="280"/>
      <c r="Q4" s="280"/>
      <c r="R4" s="280"/>
      <c r="S4" s="280"/>
      <c r="T4" s="280"/>
      <c r="U4" s="280"/>
      <c r="V4" s="280"/>
      <c r="W4" s="280"/>
      <c r="X4" s="280"/>
      <c r="Y4" s="280"/>
      <c r="Z4" s="280"/>
      <c r="AA4" s="280"/>
      <c r="AB4" s="280"/>
    </row>
    <row r="5" spans="1:29">
      <c r="A5" s="198"/>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row>
    <row r="7" spans="1:29" ht="16">
      <c r="L7" s="158"/>
      <c r="Y7" t="s" s="187">
        <v>254</v>
      </c>
    </row>
    <row r="8" spans="1:29" ht="16" thickBot="1">
      <c r="L8" s="158"/>
      <c r="Y8" s="158"/>
    </row>
    <row r="9" spans="1:29" ht="23.25" customHeight="1" thickBot="1">
      <c r="A9" t="s" s="323">
        <v>240</v>
      </c>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5"/>
    </row>
    <row r="10" spans="1:29">
      <c r="A10" s="185"/>
      <c r="B10" s="185"/>
      <c r="C10" s="185"/>
      <c r="D10" s="185"/>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row>
    <row r="12" spans="1:29" ht="15" customHeight="1">
      <c r="A12" t="s" s="326">
        <v>297</v>
      </c>
      <c r="B12" s="326"/>
      <c r="C12" s="326"/>
      <c r="D12" s="326"/>
      <c r="E12" s="326"/>
      <c r="F12" s="326"/>
      <c r="G12" s="326"/>
      <c r="H12" s="326"/>
      <c r="I12" s="326"/>
      <c r="J12" s="326"/>
      <c r="K12" s="326"/>
      <c r="L12" s="326"/>
      <c r="M12" s="326"/>
      <c r="N12" s="326"/>
      <c r="O12" s="326"/>
      <c r="P12" s="326"/>
      <c r="Q12" s="326"/>
      <c r="R12" s="326"/>
      <c r="S12" s="326"/>
      <c r="T12" s="326"/>
      <c r="U12" s="326"/>
      <c r="V12" s="326"/>
      <c r="W12" s="326"/>
      <c r="X12" s="326"/>
      <c r="Y12" s="326"/>
      <c r="Z12" s="326"/>
      <c r="AA12" s="326"/>
      <c r="AB12" s="326"/>
      <c r="AC12">
        <f>"             Based on the Registry of Landowners, Farmers, and Other Irrigation Water Users (IRR FISA Form 1) of this Office, and the attached Landowner’s Declaration (IRR FISA Form 6), the landholding owned by Mr. /Mrs. /Ms. "&amp;IF(ISNUMBER('00 ACC DETAILS 01'!G5),'00 ACC DETAILS 01'!G4&amp;" "&amp;'00 ACC DETAILS 01'!G6,'00 ACC DETAILS 01'!G4&amp;" "&amp;'00 ACC DETAILS 01'!G5&amp;" "&amp;'00 ACC DETAILS 01'!G6)&amp;" with address at):  "&amp;PROPER('00 ACC DETAILS 01'!G8&amp;", "&amp;'00 ACC DETAILS 01'!G9&amp;", "&amp;'00 ACC DETAILS 01'!G10)&amp;" is EXEMPTED in the payment of Irrigation Service Fee per RA 10969 otherwise known as the Free Irrigation Service Act (FISA)."</f>
      </c>
    </row>
    <row r="13" spans="1:29" ht="11.25" customHeight="1">
      <c r="A13" s="326"/>
      <c r="B13" s="326"/>
      <c r="C13" s="326"/>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row>
    <row r="14" spans="1:29" ht="9" customHeight="1">
      <c r="A14" s="326"/>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row>
    <row r="15" spans="1:29" ht="15" customHeight="1">
      <c r="A15" s="326"/>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row>
    <row r="16" spans="1:29" ht="15" customHeight="1">
      <c r="A16" s="326"/>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row>
    <row r="17" spans="1:29" s="134" customFormat="1" ht="14.25" customHeight="1">
      <c r="A17" s="326"/>
      <c r="B17" s="326"/>
      <c r="C17" s="326"/>
      <c r="D17" s="326"/>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row>
    <row r="18" spans="1:29" s="134" customFormat="1" ht="14.25" customHeight="1">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c r="AA18" s="190"/>
      <c r="AB18" s="190"/>
    </row>
    <row r="19" spans="1:29" s="134" customFormat="1" ht="14"/>
    <row r="20" spans="1:29" s="134" customFormat="1" ht="13.5" customHeight="1">
      <c r="A20" t="s" s="326">
        <v>298</v>
      </c>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c r="AA20" s="326"/>
      <c r="AB20" s="326"/>
      <c r="AC20" s="134">
        <f>"             This certification is issued to Mr. /Mrs. /Ms. "&amp;IF(ISNUMBER('00 ACC DETAILS 01'!G5),'00 ACC DETAILS 01'!G4&amp;" "&amp;'00 ACC DETAILS 01'!G6,'00 ACC DETAILS 01'!G4&amp;" "&amp;'00 ACC DETAILS 01'!G5&amp;" "&amp;'00 ACC DETAILS 01'!G6)&amp;" on _____________________________, 2022 at Tambubong, San Rafael, Bulacan for whatever legal purpose it may serve."</f>
      </c>
    </row>
    <row r="21" spans="1:29" s="134" customFormat="1" ht="11.25" customHeight="1">
      <c r="A21" s="326"/>
      <c r="B21" s="326"/>
      <c r="C21" s="326"/>
      <c r="D21" s="326"/>
      <c r="E21" s="326"/>
      <c r="F21" s="326"/>
      <c r="G21" s="326"/>
      <c r="H21" s="326"/>
      <c r="I21" s="326"/>
      <c r="J21" s="326"/>
      <c r="K21" s="326"/>
      <c r="L21" s="326"/>
      <c r="M21" s="326"/>
      <c r="N21" s="326"/>
      <c r="O21" s="326"/>
      <c r="P21" s="326"/>
      <c r="Q21" s="326"/>
      <c r="R21" s="326"/>
      <c r="S21" s="326"/>
      <c r="T21" s="326"/>
      <c r="U21" s="326"/>
      <c r="V21" s="326"/>
      <c r="W21" s="326"/>
      <c r="X21" s="326"/>
      <c r="Y21" s="326"/>
      <c r="Z21" s="326"/>
      <c r="AA21" s="326"/>
      <c r="AB21" s="326"/>
    </row>
    <row r="22" spans="1:29" s="134" customFormat="1" ht="21.75" customHeight="1">
      <c r="A22" s="326"/>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row>
    <row r="23" spans="1:29" s="134" customFormat="1" ht="14"/>
    <row r="24" spans="1:29" s="134" customFormat="1" ht="14"/>
    <row r="25" spans="1:29" s="134" customFormat="1" ht="14"/>
    <row r="26" spans="1:29" s="134" customFormat="1" ht="14"/>
    <row r="27" spans="1:29" s="134" customFormat="1" ht="14"/>
    <row r="28" spans="1:29" s="134" customFormat="1" ht="14"/>
    <row r="29" spans="1:29" s="188" customFormat="1" ht="16">
      <c r="B29" t="s" s="189">
        <v>235</v>
      </c>
      <c r="S29" t="s" s="189">
        <v>175</v>
      </c>
    </row>
    <row r="30" spans="1:29" s="134" customFormat="1" ht="14"/>
    <row r="31" spans="1:29" s="134" customFormat="1" ht="14">
      <c r="E31" s="159"/>
      <c r="V31" s="159"/>
    </row>
    <row r="32" spans="1:29" s="134" customFormat="1" ht="16">
      <c r="E32" s="159"/>
      <c r="F32" t="s" s="186">
        <v>108</v>
      </c>
      <c r="V32" s="159"/>
      <c r="W32" t="s" s="186">
        <v>233</v>
      </c>
    </row>
    <row r="33" spans="3:23" s="134" customFormat="1" ht="16">
      <c r="C33" s="197"/>
      <c r="F33" t="s" s="195">
        <v>261</v>
      </c>
      <c r="W33" t="s" s="195">
        <v>269</v>
      </c>
    </row>
    <row r="34" spans="3:23" s="134" customFormat="1" ht="14">
      <c r="F34" t="s" s="196">
        <v>215</v>
      </c>
      <c r="N34" s="163"/>
      <c r="W34" t="s" s="196">
        <v>215</v>
      </c>
    </row>
    <row r="46" spans="3:23" s="134" customFormat="1" ht="14">
      <c r="F46" s="178"/>
      <c r="N46" s="163"/>
      <c r="W46" s="178"/>
    </row>
    <row r="47" spans="3:23" s="134" customFormat="1" ht="14">
      <c r="N47" s="163"/>
    </row>
    <row r="48" spans="3:23" s="134" customFormat="1" ht="14">
      <c r="N48" s="163"/>
    </row>
    <row r="49" spans="14:14" s="134" customFormat="1" ht="14">
      <c r="N49" s="163"/>
    </row>
    <row r="50" spans="14:14" s="134" customFormat="1" ht="14">
      <c r="N50" s="163"/>
    </row>
    <row r="51" spans="14:14" s="134" customFormat="1" ht="14">
      <c r="N51" s="163"/>
    </row>
    <row r="52" spans="14:14" s="134" customFormat="1" ht="14">
      <c r="N52" s="163"/>
    </row>
    <row r="53" spans="14:14" s="134" customFormat="1" ht="14">
      <c r="N53" s="163"/>
    </row>
    <row r="54" spans="14:14" s="134" customFormat="1" ht="14">
      <c r="N54" s="163"/>
    </row>
    <row r="57" spans="14:14" s="134" customFormat="1" ht="14"/>
    <row r="58" spans="14:14" s="134" customFormat="1" ht="14"/>
  </sheetData>
  <mergeCells count="7">
    <mergeCell ref="A9:AB9"/>
    <mergeCell ref="A20:AB22"/>
    <mergeCell ref="A12:AB17"/>
    <mergeCell ref="A1:AB1"/>
    <mergeCell ref="A2:AB2"/>
    <mergeCell ref="A3:AB3"/>
    <mergeCell ref="A4:AB4"/>
  </mergeCells>
  <printOptions horizontalCentered="1"/>
  <pageMargins left="0.25" right="0.25" top="0.25" bottom="0.25" header="0.3" footer="0.3"/>
  <pageSetup paperSize="9" scale="97" orientation="portrait" r:id="rId1"/>
  <drawing r:id="rId2"/>
  <legacyDrawingHF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12</vt:i4>
      </vt:variant>
    </vt:vector>
  </HeadingPairs>
  <TitlesOfParts>
    <vt:vector size="29" baseType="lpstr">
      <vt:lpstr>00 ACC DETAILS 01</vt:lpstr>
      <vt:lpstr>01 SOA 01</vt:lpstr>
      <vt:lpstr>00 ACC DETAILS 02</vt:lpstr>
      <vt:lpstr>01 SOA 02</vt:lpstr>
      <vt:lpstr>00 ACC DETAILS 03</vt:lpstr>
      <vt:lpstr>01 SOA 03</vt:lpstr>
      <vt:lpstr>00 ACC DETAILS 04</vt:lpstr>
      <vt:lpstr>01 SOA 04</vt:lpstr>
      <vt:lpstr>00 ACC DETAILS 05</vt:lpstr>
      <vt:lpstr>01 SOA 05</vt:lpstr>
      <vt:lpstr>02 REGISTRY</vt:lpstr>
      <vt:lpstr>03 PARTIAL LIST</vt:lpstr>
      <vt:lpstr>04 IRR FISA FORM 2</vt:lpstr>
      <vt:lpstr>05 IRR FISA FORM 3</vt:lpstr>
      <vt:lpstr>06 ACKNOWLEDGEMENT</vt:lpstr>
      <vt:lpstr>07 IRR FISA FORM 6</vt:lpstr>
      <vt:lpstr>08 IRR FISA FORM 7</vt:lpstr>
      <vt:lpstr>'01 SOA 01'!Print_Area</vt:lpstr>
      <vt:lpstr>'01 SOA 02'!Print_Area</vt:lpstr>
      <vt:lpstr>'01 SOA 03'!Print_Area</vt:lpstr>
      <vt:lpstr>'01 SOA 04'!Print_Area</vt:lpstr>
      <vt:lpstr>'01 SOA 05'!Print_Area</vt:lpstr>
      <vt:lpstr>'02 REGISTRY'!Print_Area</vt:lpstr>
      <vt:lpstr>'03 PARTIAL LIST'!Print_Area</vt:lpstr>
      <vt:lpstr>'04 IRR FISA FORM 2'!Print_Area</vt:lpstr>
      <vt:lpstr>'05 IRR FISA FORM 3'!Print_Area</vt:lpstr>
      <vt:lpstr>'06 ACKNOWLEDGEMENT'!Print_Area</vt:lpstr>
      <vt:lpstr>'07 IRR FISA FORM 6'!Print_Area</vt:lpstr>
      <vt:lpstr>'08 IRR FISA FORM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Reynard Delos Santos</dc:creator>
  <cp:lastModifiedBy>Nasche Del Ponso</cp:lastModifiedBy>
  <cp:lastPrinted>2022-09-01T08:54:33Z</cp:lastPrinted>
  <dcterms:created xsi:type="dcterms:W3CDTF">2015-06-05T18:17:20Z</dcterms:created>
  <dcterms:modified xsi:type="dcterms:W3CDTF">2026-03-04T02:13:42Z</dcterms:modified>
</cp:coreProperties>
</file>